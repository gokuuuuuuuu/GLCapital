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<sst xmlns="http://schemas.openxmlformats.org/spreadsheetml/2006/main" count="2268" uniqueCount="2268">
  <si>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</si>
  <si>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</si>
  <si>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</si>
  <si>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</si>
  <si>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</si>
  <si>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</si>
  <si>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</si>
  <si>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</si>
  <si>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</si>
  <si>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</si>
  <si>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</si>
  <si>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</si>
  <si>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</si>
  <si>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</si>
  <si>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</si>
  <si>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</si>
  <si>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</si>
  <si>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</si>
  <si>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</si>
  <si>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</si>
  <si>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</si>
  <si>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</si>
  <si>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</si>
  <si>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</si>
  <si>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</si>
  <si>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</si>
  <si>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</si>
  <si>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</si>
  <si>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</si>
  <si>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</si>
  <si>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</si>
  <si>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</si>
  <si>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</si>
  <si>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</si>
  <si>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</si>
  <si>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</si>
  <si>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</si>
  <si>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</si>
  <si>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</si>
  <si>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</si>
  <si>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</si>
  <si>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</si>
  <si>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</si>
  <si>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</si>
  <si>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</si>
  <si>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</si>
  <si>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</si>
  <si>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</si>
  <si>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</si>
  <si>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</si>
  <si>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</si>
  <si>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</si>
  <si>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</si>
  <si>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</si>
  <si>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</si>
  <si>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</si>
  <si>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</si>
  <si>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</si>
  <si>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</si>
  <si>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</si>
  <si>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</si>
  <si>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</si>
  <si>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</si>
  <si>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</si>
  <si>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</si>
  <si>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</si>
  <si>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</si>
  <si>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</si>
  <si>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</si>
  <si>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</si>
  <si>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</si>
  <si>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</si>
  <si>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</si>
  <si>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</si>
  <si>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</si>
  <si>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</si>
  <si>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</si>
  <si>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</si>
  <si>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</si>
  <si>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</si>
  <si>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</si>
  <si>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</si>
  <si>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</si>
  <si>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</si>
  <si>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</si>
  <si>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</si>
  <si>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</si>
  <si>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</si>
  <si>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</si>
  <si>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</si>
  <si>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</si>
  <si>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</si>
  <si>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</si>
  <si>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</si>
  <si>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</si>
  <si>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</si>
  <si>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</si>
  <si>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</si>
  <si>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</si>
  <si>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</si>
  <si>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</si>
  <si>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</si>
  <si>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</si>
  <si>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</si>
  <si>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</si>
  <si>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</si>
  <si>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</si>
  <si>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</si>
  <si>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</si>
  <si>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</si>
  <si>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</si>
  <si>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</si>
  <si>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</si>
  <si>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</si>
  <si>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</si>
  <si>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</si>
  <si>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</si>
  <si>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</si>
  <si>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</si>
  <si>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</si>
  <si>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</si>
  <si>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</si>
  <si>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</si>
  <si>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</si>
  <si>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</si>
  <si>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</si>
  <si>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</si>
  <si>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</si>
  <si>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</si>
  <si>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</si>
  <si>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</si>
  <si>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</si>
  <si>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</si>
  <si>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</si>
  <si>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</si>
  <si>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</si>
  <si>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</si>
  <si>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</si>
  <si>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</si>
  <si>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</si>
  <si>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</si>
  <si>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</si>
  <si>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</si>
  <si>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</si>
  <si>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</si>
  <si>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</si>
  <si>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</si>
  <si>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</si>
  <si>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</si>
  <si>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</si>
  <si>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</si>
  <si>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</si>
  <si>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</si>
  <si>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</si>
  <si>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</si>
  <si>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</si>
  <si>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</si>
  <si>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</si>
  <si>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</si>
  <si>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</si>
  <si>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</si>
  <si>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</si>
  <si>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</si>
  <si>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</si>
  <si>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</si>
  <si>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</si>
  <si>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</si>
  <si>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</si>
  <si>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</si>
  <si>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</si>
  <si>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</si>
  <si>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</si>
  <si>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</si>
  <si>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</si>
  <si>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</si>
  <si>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</si>
  <si>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</si>
  <si>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</si>
  <si>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</si>
  <si>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</si>
  <si>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</si>
  <si>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</si>
  <si>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</si>
  <si>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</si>
  <si>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</si>
  <si>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</si>
  <si>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</si>
  <si>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</si>
  <si>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</si>
  <si>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</si>
  <si>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</si>
  <si>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</si>
  <si>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</si>
  <si>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</si>
  <si>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</si>
  <si>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</si>
  <si>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</si>
  <si>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</si>
  <si>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</si>
  <si>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</si>
  <si>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</si>
  <si>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</si>
  <si>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</si>
  <si>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</si>
  <si>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</si>
  <si>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</si>
  <si>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</si>
  <si>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</si>
  <si>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</si>
  <si>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</si>
  <si>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</si>
  <si>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</si>
  <si>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</si>
  <si>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</si>
  <si>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</si>
  <si>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</si>
  <si>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</si>
  <si>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</si>
  <si>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</si>
  <si>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</si>
  <si>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</si>
  <si>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</si>
  <si>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</si>
  <si>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</si>
  <si>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</si>
  <si>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</si>
  <si>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</si>
  <si>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</si>
  <si>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</si>
  <si>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</si>
  <si>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</si>
  <si>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</si>
  <si>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</si>
  <si>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</si>
  <si>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</si>
  <si>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</si>
  <si>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</si>
  <si>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</si>
  <si>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</si>
  <si>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</si>
  <si>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</si>
  <si>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</si>
  <si>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</si>
  <si>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</si>
  <si>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</si>
  <si>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</si>
  <si>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</si>
  <si>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</si>
  <si>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</si>
  <si>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</si>
  <si>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</si>
  <si>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</si>
  <si>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</si>
  <si>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</si>
  <si>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</si>
  <si>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</si>
  <si>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</si>
  <si>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</si>
  <si>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</si>
  <si>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</si>
  <si>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</si>
  <si>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</si>
  <si>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</si>
  <si>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</si>
  <si>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</si>
  <si>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</si>
  <si>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</si>
  <si>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</si>
  <si>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</si>
  <si>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</si>
  <si>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</si>
  <si>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</si>
  <si>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</si>
  <si>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</si>
  <si>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</si>
  <si>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</si>
  <si>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</si>
  <si>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</si>
  <si>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</si>
  <si>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</si>
  <si>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</si>
  <si>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</si>
  <si>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</si>
  <si>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</si>
  <si>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</si>
  <si>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</si>
  <si>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</si>
  <si>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</si>
  <si>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</si>
  <si>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</si>
  <si>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</si>
  <si>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</si>
  <si>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</si>
  <si>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</si>
  <si>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</si>
  <si>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</si>
  <si>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</si>
  <si>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</si>
  <si>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</si>
  <si>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</si>
  <si>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</si>
  <si>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</si>
  <si>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</si>
  <si>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</si>
  <si>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</si>
  <si>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</si>
  <si>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</si>
  <si>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</si>
  <si>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</si>
  <si>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</si>
  <si>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</si>
  <si>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</si>
  <si>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</si>
  <si>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</si>
  <si>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</si>
  <si>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</si>
  <si>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</si>
  <si>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</si>
  <si>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</si>
  <si>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</si>
  <si>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</si>
  <si>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</si>
  <si>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</si>
  <si>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</si>
  <si>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</si>
  <si>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</si>
  <si>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</si>
  <si>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</si>
  <si>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</si>
  <si>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</si>
  <si>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</si>
  <si>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</si>
  <si>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</si>
  <si>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</si>
  <si>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</si>
  <si>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</si>
  <si>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</si>
  <si>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</si>
  <si>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</si>
  <si>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</si>
  <si>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</si>
  <si>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</si>
  <si>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</si>
  <si>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</si>
  <si>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</si>
  <si>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</si>
  <si>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</si>
  <si>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</si>
  <si>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</si>
  <si>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</si>
  <si>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</si>
  <si>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</si>
  <si>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</si>
  <si>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</si>
  <si>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</si>
  <si>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</si>
  <si>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</si>
  <si>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</si>
  <si>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</si>
  <si>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</si>
  <si>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</si>
  <si>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</si>
  <si>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</si>
  <si>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</si>
  <si>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</si>
  <si>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</si>
  <si>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</si>
  <si>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</si>
  <si>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</si>
  <si>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</si>
  <si>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</si>
  <si>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</si>
  <si>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</si>
  <si>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</si>
  <si>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</si>
  <si>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</si>
  <si>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</si>
  <si>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</si>
  <si>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</si>
  <si>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</si>
  <si>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</si>
  <si>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</si>
  <si>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</si>
  <si>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</si>
  <si>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</si>
  <si>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</si>
  <si>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</si>
  <si>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</si>
  <si>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</si>
  <si>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</si>
  <si>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</si>
  <si>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</si>
  <si>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</si>
  <si>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</si>
  <si>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</si>
  <si>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</si>
  <si>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</si>
  <si>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</si>
  <si>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</si>
  <si>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</si>
  <si>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</si>
  <si>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</si>
  <si>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</si>
  <si>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</si>
  <si>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</si>
  <si>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</si>
  <si>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</si>
  <si>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</si>
  <si>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</si>
  <si>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</si>
  <si>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</si>
  <si>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</si>
  <si>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</si>
  <si>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</si>
  <si>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</si>
  <si>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</si>
  <si>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</si>
  <si>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</si>
  <si>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</si>
  <si>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</si>
  <si>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</si>
  <si>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</si>
  <si>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</si>
  <si>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</si>
  <si>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</si>
  <si>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</si>
  <si>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</si>
  <si>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</si>
  <si>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</si>
  <si>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</si>
  <si>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</si>
  <si>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</si>
  <si>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</si>
  <si>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</si>
  <si>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</si>
  <si>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</si>
  <si>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</si>
  <si>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</si>
  <si>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</si>
  <si>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</si>
  <si>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</si>
  <si>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</si>
  <si>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</si>
  <si>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</si>
  <si>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</si>
  <si>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</si>
  <si>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</si>
  <si>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</si>
  <si>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</si>
  <si>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</si>
  <si>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</si>
  <si>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</si>
  <si>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</si>
  <si>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</si>
  <si>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</si>
  <si>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</si>
  <si>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</si>
  <si>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</si>
  <si>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</si>
  <si>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</si>
  <si>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</si>
  <si>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</si>
  <si>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</si>
  <si>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</si>
  <si>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</si>
  <si>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</si>
  <si>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</si>
  <si>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</si>
  <si>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</si>
  <si>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</si>
  <si>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</si>
  <si>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</si>
  <si>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</si>
  <si>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</si>
  <si>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</si>
  <si>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</si>
  <si>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</si>
  <si>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</si>
  <si>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</si>
  <si>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</si>
  <si>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</si>
  <si>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</si>
  <si>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</si>
  <si>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</si>
  <si>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</si>
  <si>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</si>
  <si>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</si>
  <si>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</si>
  <si>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</si>
  <si>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</si>
  <si>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</si>
  <si>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</si>
  <si>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</si>
  <si>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</si>
  <si>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</si>
  <si>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</si>
  <si>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</si>
  <si>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</si>
  <si>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</si>
  <si>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</si>
  <si>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</si>
  <si>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</si>
  <si>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</si>
  <si>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</si>
  <si>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</si>
  <si>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</si>
  <si>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</si>
  <si>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</si>
  <si>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</si>
  <si>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</si>
  <si>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</si>
  <si>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</si>
  <si>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</si>
  <si>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</si>
  <si>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</si>
  <si>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</si>
  <si>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</si>
  <si>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</si>
  <si>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</si>
  <si>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</si>
  <si>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</si>
  <si>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</si>
  <si>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</si>
  <si>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</si>
  <si>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</si>
  <si>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</si>
  <si>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</si>
  <si>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</si>
  <si>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</si>
  <si>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</si>
  <si>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</si>
  <si>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</si>
  <si>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</si>
  <si>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</si>
  <si>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</si>
  <si>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</si>
  <si>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</si>
  <si>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</si>
  <si>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</si>
  <si>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</si>
  <si>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</si>
  <si>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</si>
  <si>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</si>
  <si>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</si>
  <si>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</si>
  <si>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</si>
  <si>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</si>
  <si>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</si>
  <si>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</si>
  <si>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</si>
  <si>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</si>
  <si>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</si>
  <si>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</si>
  <si>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</si>
  <si>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</si>
  <si>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</si>
  <si>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</si>
  <si>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</si>
  <si>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</si>
  <si>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</si>
  <si>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</si>
  <si>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</si>
  <si>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</si>
  <si>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</si>
  <si>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</si>
  <si>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</si>
  <si>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</si>
  <si>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</si>
  <si>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</si>
  <si>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</si>
  <si>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</si>
  <si>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</si>
  <si>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</si>
  <si>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</si>
  <si>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</si>
  <si>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</si>
  <si>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</si>
  <si>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</si>
  <si>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</si>
  <si>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</si>
  <si>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</si>
  <si>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</si>
  <si>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</si>
  <si>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</si>
  <si>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</si>
  <si>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</si>
  <si>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</si>
  <si>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</si>
  <si>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</si>
  <si>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</si>
  <si>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</si>
  <si>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</si>
  <si>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</si>
  <si>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</si>
  <si>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</si>
  <si>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</si>
  <si>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</si>
  <si>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</si>
  <si>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</si>
  <si>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</si>
  <si>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</si>
  <si>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</si>
  <si>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</si>
  <si>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</si>
  <si>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</si>
  <si>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</si>
  <si>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</si>
  <si>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</si>
  <si>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</si>
  <si>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</si>
  <si>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</si>
  <si>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</si>
  <si>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</si>
  <si>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</si>
  <si>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</si>
  <si>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</si>
  <si>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</si>
  <si>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</si>
  <si>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</si>
  <si>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</si>
  <si>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</si>
  <si>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</si>
  <si>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</si>
  <si>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</si>
  <si>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</si>
  <si>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</si>
  <si>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</si>
  <si>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</si>
  <si>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</si>
  <si>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</si>
  <si>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</si>
  <si>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</si>
  <si>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</si>
  <si>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</si>
  <si>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</si>
  <si>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</si>
  <si>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</si>
  <si>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</si>
  <si>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</si>
  <si>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</si>
  <si>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</si>
  <si>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</si>
  <si>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</si>
  <si>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</si>
  <si>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</si>
  <si>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</si>
  <si>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</si>
  <si>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</si>
  <si>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</si>
  <si>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</si>
  <si>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</si>
  <si>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</si>
  <si>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</si>
  <si>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</si>
  <si>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</si>
  <si>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</si>
  <si>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</si>
  <si>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</si>
  <si>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</si>
  <si>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</si>
  <si>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</si>
  <si>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</si>
  <si>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</si>
  <si>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</si>
  <si>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</si>
  <si>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</si>
  <si>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</si>
  <si>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</si>
  <si>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</si>
  <si>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</si>
  <si>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</si>
  <si>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</si>
  <si>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</si>
  <si>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</si>
  <si>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</si>
  <si>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</si>
  <si>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</si>
  <si>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</si>
  <si>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</si>
  <si>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</si>
  <si>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</si>
  <si>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</si>
  <si>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</si>
  <si>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</si>
  <si>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</si>
  <si>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</si>
  <si>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</si>
  <si>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</si>
  <si>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</si>
  <si>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</si>
  <si>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</si>
  <si>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</si>
  <si>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</si>
  <si>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</si>
  <si>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</si>
  <si>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</si>
  <si>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</si>
  <si>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</si>
  <si>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</si>
  <si>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</si>
  <si>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</si>
  <si>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</si>
  <si>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</si>
  <si>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</si>
  <si>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</si>
  <si>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</si>
  <si>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</si>
  <si>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</si>
  <si>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</si>
  <si>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</si>
  <si>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</si>
  <si>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</si>
  <si>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</si>
  <si>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</si>
  <si>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</si>
  <si>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</si>
  <si>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</si>
  <si>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</si>
  <si>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</si>
  <si>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</si>
  <si>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</si>
  <si>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</si>
  <si>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</si>
  <si>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</si>
  <si>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</si>
  <si>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</si>
  <si>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</si>
  <si>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</si>
  <si>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</si>
  <si>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</si>
  <si>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</si>
  <si>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</si>
  <si>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</si>
  <si>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</si>
  <si>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</si>
  <si>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</si>
  <si>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</si>
  <si>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</si>
  <si>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</si>
  <si>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</si>
  <si>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</si>
  <si>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</si>
  <si>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</si>
  <si>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</si>
  <si>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</si>
  <si>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</si>
  <si>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</si>
  <si>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</si>
  <si>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</si>
  <si>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</si>
  <si>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</si>
  <si>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</si>
  <si>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</si>
  <si>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</si>
  <si>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</si>
  <si>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</si>
  <si>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</si>
  <si>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</si>
  <si>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</si>
  <si>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</si>
  <si>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</si>
  <si>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</si>
  <si>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</si>
  <si>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</si>
  <si>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</si>
  <si>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</si>
  <si>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</si>
  <si>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</si>
  <si>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</si>
  <si>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</si>
  <si>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</si>
  <si>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</si>
  <si>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</si>
  <si>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</si>
  <si>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</si>
  <si>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</si>
  <si>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</si>
  <si>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</si>
  <si>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</si>
  <si>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</si>
  <si>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</si>
  <si>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</si>
  <si>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</si>
  <si>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</si>
  <si>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</si>
  <si>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</si>
  <si>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</si>
  <si>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</si>
  <si>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</si>
  <si>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</si>
  <si>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</si>
  <si>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</si>
  <si>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</si>
  <si>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</si>
  <si>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</si>
  <si>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</si>
  <si>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</si>
  <si>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</si>
  <si>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</si>
  <si>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</si>
  <si>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</si>
  <si>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</si>
  <si>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</si>
  <si>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</si>
  <si>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</si>
  <si>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</si>
  <si>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</si>
  <si>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</si>
  <si>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</si>
  <si>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</si>
  <si>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</si>
  <si>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</si>
  <si>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</si>
  <si>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</si>
  <si>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</si>
  <si>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</si>
  <si>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</si>
  <si>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</si>
  <si>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</si>
  <si>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</si>
  <si>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</si>
  <si>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</si>
  <si>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</si>
  <si>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</si>
  <si>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</si>
  <si>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</si>
  <si>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</si>
  <si>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</si>
  <si>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</si>
  <si>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</si>
  <si>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</si>
  <si>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</si>
  <si>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</si>
  <si>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</si>
  <si>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</si>
  <si>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</si>
  <si>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</si>
  <si>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</si>
  <si>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</si>
  <si>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</si>
  <si>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</si>
  <si>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</si>
  <si>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</si>
  <si>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</si>
  <si>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</si>
  <si>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</si>
  <si>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</si>
  <si>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</si>
  <si>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</si>
  <si>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</si>
  <si>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</si>
  <si>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</si>
  <si>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</si>
  <si>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</si>
  <si>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</si>
  <si>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</si>
  <si>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</si>
  <si>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</si>
  <si>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</si>
  <si>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</si>
  <si>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</si>
  <si>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</si>
  <si>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</si>
  <si>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</si>
  <si>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</si>
  <si>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</si>
  <si>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</si>
  <si>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</si>
  <si>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</si>
  <si>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</si>
  <si>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</si>
  <si>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</si>
  <si>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</si>
  <si>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</si>
  <si>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</si>
  <si>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</si>
  <si>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</si>
  <si>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</si>
  <si>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</si>
  <si>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</si>
  <si>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</si>
  <si>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</si>
  <si>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</si>
  <si>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</si>
  <si>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</si>
  <si>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</si>
  <si>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</si>
  <si>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</si>
  <si>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</si>
  <si>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</si>
  <si>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</si>
  <si>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</si>
  <si>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</si>
  <si>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</si>
  <si>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</si>
  <si>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</si>
  <si>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</si>
  <si>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</si>
  <si>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</si>
  <si>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</si>
  <si>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</si>
  <si>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</si>
  <si>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</si>
  <si>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</si>
  <si>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</si>
  <si>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</si>
  <si>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</si>
  <si>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</si>
  <si>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</si>
  <si>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</si>
  <si>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</si>
  <si>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</si>
  <si>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</si>
  <si>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</si>
  <si>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</si>
  <si>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</si>
  <si>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</si>
  <si>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</si>
  <si>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</si>
  <si>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</si>
  <si>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</si>
  <si>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</si>
  <si>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</si>
  <si>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</si>
  <si>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</si>
  <si>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</si>
  <si>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</si>
  <si>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</si>
  <si>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</si>
  <si>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</si>
  <si>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</si>
  <si>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</si>
  <si>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</si>
  <si>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</si>
  <si>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</si>
  <si>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</si>
  <si>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</si>
  <si>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</si>
  <si>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</si>
  <si>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</si>
  <si>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</si>
  <si>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</si>
  <si>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</si>
  <si>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</si>
  <si>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</si>
  <si>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</si>
  <si>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</si>
  <si>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</si>
  <si>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</si>
  <si>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</si>
  <si>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</si>
  <si>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</si>
  <si>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</si>
  <si>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</si>
  <si>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</si>
  <si>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</si>
  <si>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</si>
  <si>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</si>
  <si>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</si>
  <si>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</si>
  <si>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</si>
  <si>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</si>
  <si>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</si>
  <si>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</si>
  <si>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</si>
  <si>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</si>
  <si>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</si>
  <si>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</si>
  <si>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</si>
  <si>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</si>
  <si>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</si>
  <si>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</si>
  <si>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</si>
  <si>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</si>
  <si>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</si>
  <si>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</si>
  <si>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</si>
  <si>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</si>
  <si>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</si>
  <si>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</si>
  <si>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</si>
  <si>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</si>
  <si>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</si>
  <si>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</si>
  <si>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</si>
  <si>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</si>
  <si>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</si>
  <si>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</si>
  <si>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</si>
  <si>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</si>
  <si>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</si>
  <si>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</si>
  <si>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</si>
  <si>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</si>
  <si>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</si>
  <si>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</si>
  <si>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</si>
  <si>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</si>
  <si>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</si>
  <si>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</si>
  <si>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</si>
  <si>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</si>
  <si>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</si>
  <si>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</si>
  <si>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</si>
  <si>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</si>
  <si>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</si>
  <si>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</si>
  <si>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</si>
  <si>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</si>
  <si>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</si>
  <si>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</si>
  <si>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</si>
  <si>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</si>
  <si>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</si>
  <si>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</si>
  <si>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</si>
  <si>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</si>
  <si>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</si>
  <si>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</si>
  <si>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</si>
  <si>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</si>
  <si>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</si>
  <si>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</si>
  <si>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</si>
  <si>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</si>
  <si>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</si>
  <si>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</si>
  <si>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</si>
  <si>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</si>
  <si>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</si>
  <si>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</si>
  <si>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</si>
  <si>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</si>
  <si>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</si>
  <si>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</si>
  <si>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</si>
  <si>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</si>
  <si>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</si>
  <si>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</si>
  <si>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</si>
  <si>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</si>
  <si>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</si>
  <si>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</si>
  <si>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</si>
  <si>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</si>
  <si>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</si>
  <si>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</si>
  <si>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</si>
  <si>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</si>
  <si>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</si>
  <si>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</si>
  <si>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</si>
  <si>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</si>
  <si>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</si>
  <si>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</si>
  <si>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</si>
  <si>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</si>
  <si>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</si>
  <si>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</si>
  <si>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</si>
  <si>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</si>
  <si>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</si>
  <si>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</si>
  <si>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</si>
  <si>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</si>
  <si>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</si>
  <si>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</si>
  <si>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</si>
  <si>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</si>
  <si>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</si>
  <si>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</si>
  <si>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</si>
  <si>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</si>
  <si>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</si>
  <si>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</si>
  <si>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</si>
  <si>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</si>
  <si>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</si>
  <si>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</si>
  <si>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</si>
  <si>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</si>
  <si>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</si>
  <si>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</si>
  <si>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</si>
  <si>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</si>
  <si>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</si>
  <si>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</si>
  <si>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</si>
  <si>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</si>
  <si>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</si>
  <si>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</si>
  <si>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</si>
  <si>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</si>
  <si>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</si>
  <si>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</si>
  <si>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</si>
  <si>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</si>
  <si>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</si>
  <si>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</si>
  <si>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</si>
  <si>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</si>
  <si>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</si>
  <si>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</si>
  <si>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</si>
  <si>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</si>
  <si>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</si>
  <si>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</si>
  <si>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</si>
  <si>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</si>
  <si>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</si>
  <si>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</si>
  <si>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</si>
  <si>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</si>
  <si>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</si>
  <si>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</si>
  <si>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</si>
  <si>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</si>
  <si>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</si>
  <si>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</si>
  <si>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</si>
  <si>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</si>
  <si>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</si>
  <si>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</si>
  <si>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</si>
  <si>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</si>
  <si>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</si>
  <si>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</si>
  <si>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</si>
  <si>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</si>
  <si>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</si>
  <si>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</si>
  <si>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</si>
  <si>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</si>
  <si>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</si>
  <si>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</si>
  <si>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</si>
  <si>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</si>
  <si>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</si>
  <si>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</si>
  <si>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</si>
  <si>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</si>
  <si>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</si>
  <si>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</si>
  <si>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</si>
  <si>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</si>
  <si>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</si>
  <si>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</si>
  <si>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</si>
  <si>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</si>
  <si>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</si>
  <si>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</si>
  <si>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</si>
  <si>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</si>
  <si>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</si>
  <si>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</si>
  <si>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</si>
  <si>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</si>
  <si>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</si>
  <si>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</si>
  <si>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</si>
  <si>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</si>
  <si>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</si>
  <si>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</si>
  <si>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</si>
  <si>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</si>
  <si>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</si>
  <si>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</si>
  <si>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</si>
  <si>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</si>
  <si>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</si>
  <si>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</si>
  <si>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</si>
  <si>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</si>
  <si>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</si>
  <si>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</si>
  <si>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</si>
  <si>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</si>
  <si>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</si>
  <si>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</si>
  <si>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</si>
  <si>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</si>
  <si>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</si>
  <si>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</si>
  <si>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</si>
  <si>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</si>
  <si>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</si>
  <si>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</si>
  <si>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</si>
  <si>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</si>
  <si>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</si>
  <si>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</si>
  <si>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</si>
  <si>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</si>
  <si>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</si>
  <si>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</si>
  <si>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</si>
  <si>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</si>
  <si>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</si>
  <si>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</si>
  <si>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</si>
  <si>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</si>
  <si>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</si>
  <si>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</si>
  <si>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</si>
  <si>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</si>
  <si>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</si>
  <si>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</si>
  <si>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</si>
  <si>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</si>
  <si>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</si>
  <si>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</si>
  <si>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</si>
  <si>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</si>
  <si>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St Agnes Apartments</t>
  </si>
  <si>
    <t>1205 Saint Agnes Lane, Woodlawn, MD 21207</t>
  </si>
  <si>
    <t>Hamlet West</t>
  </si>
  <si>
    <t>Jamestowne Apartments</t>
  </si>
  <si>
    <t>Cedar Run Apartments</t>
  </si>
  <si>
    <t>Gwynnbrook Townhomes</t>
  </si>
  <si>
    <t>The Reserve at West Hills</t>
  </si>
  <si>
    <t>Nottingham South</t>
  </si>
  <si>
    <t>Nottingham Gardens</t>
  </si>
  <si>
    <t>1729 Champlain Drive, Baltimore, MD 21207</t>
  </si>
  <si>
    <t>5364 Jamestowne Court, Baltimore, MD 21229</t>
  </si>
  <si>
    <t>407 Cedar Run Place, Catonsville, MD 21228</t>
  </si>
  <si>
    <t>5136 Oaklawn Road, Baltimore, MD 21207</t>
  </si>
  <si>
    <t>1546 Ingleside Avenue, Baltimore, MD 21207</t>
  </si>
  <si>
    <t>707 Nottingham Road, Baltimore, MD 21229</t>
  </si>
  <si>
    <t>902 Nottingham Road, Baltimore, MD 21229</t>
  </si>
  <si>
    <t>Regional Management Inc</t>
  </si>
  <si>
    <t>Maryland Management</t>
  </si>
  <si>
    <t>Atlantic Realty Management</t>
  </si>
  <si>
    <t>Hendersen Webb</t>
  </si>
  <si>
    <t>Morgan Properties</t>
  </si>
  <si>
    <t>Concordia Properties</t>
  </si>
  <si>
    <t>Longford Management</t>
  </si>
  <si>
    <t>http://www.hamletwestapts.com/</t>
  </si>
  <si>
    <t>http://www.jamestowne-apts.com/</t>
  </si>
  <si>
    <t>https://www.cedarrunapartments.com/?utm_source=GMB&amp;utm_medium=organic</t>
  </si>
  <si>
    <t>gwynnbrooktownhomes.com</t>
  </si>
  <si>
    <t>http://longforddc.com/nottingham-south/</t>
  </si>
  <si>
    <t>1729 Champlain Drive</t>
  </si>
  <si>
    <t>5364 Jamestowne Court</t>
  </si>
  <si>
    <t>407 Cedar Run Place</t>
  </si>
  <si>
    <t>5136 Oaklawn Road</t>
  </si>
  <si>
    <t>1546 Ingleside Avenue</t>
  </si>
  <si>
    <t>707 Nottingham Road</t>
  </si>
  <si>
    <t>902 Nottingham Road</t>
  </si>
  <si>
    <t>1205 Saint Agnes Lane</t>
  </si>
  <si>
    <t>1 Bedroom</t>
  </si>
  <si>
    <t>1 Bedroom Deluxe</t>
  </si>
  <si>
    <t>2 Bedroom</t>
  </si>
  <si>
    <t>2 Bedroom 2 Bath</t>
  </si>
  <si>
    <t>3 Bedroom Townhome</t>
  </si>
  <si>
    <t>The Colony</t>
  </si>
  <si>
    <t>The Colony Renovated</t>
  </si>
  <si>
    <t>The Chesapeake</t>
  </si>
  <si>
    <t>The Chesapeake Renovated</t>
  </si>
  <si>
    <t>The Fort</t>
  </si>
  <si>
    <t>The Fort Renovated</t>
  </si>
  <si>
    <t>Studio with Private Entrance</t>
  </si>
  <si>
    <t>One Bedroom</t>
  </si>
  <si>
    <t>One Bedroom with Den</t>
  </si>
  <si>
    <t>Two Bedroom</t>
  </si>
  <si>
    <t>One Bedroom Townhome - 704 sqft</t>
  </si>
  <si>
    <t>One Bedroom Townhome</t>
  </si>
  <si>
    <t>Two Bedroom Townhome - 896 sqft</t>
  </si>
  <si>
    <t>Two Bedroom 1 Bath Townhome - 896 sqft</t>
  </si>
  <si>
    <t>Two Bedroom Townhome</t>
  </si>
  <si>
    <t>Three Bedroom 1 Bath Townhome - 1,088 sqft</t>
  </si>
  <si>
    <t>Three Bedroom Townhome - 1,088 sqft</t>
  </si>
  <si>
    <t>Three Bedroom Townhome</t>
  </si>
  <si>
    <t>Studio Upgrade</t>
  </si>
  <si>
    <t>Studio Convert</t>
  </si>
  <si>
    <t>1 Bedroom 1 Bathroom Junior</t>
  </si>
  <si>
    <t>1 Bedroom 1 Bathroom</t>
  </si>
  <si>
    <t>1 Bed 1 Bath Breakfast bar</t>
  </si>
  <si>
    <t>1 Bedroom 1 Bathroom Upgrade</t>
  </si>
  <si>
    <t>2 Bedroom 1 Bathroom Upgrade</t>
  </si>
  <si>
    <t>2 Bedroom 1 Bathroom</t>
  </si>
  <si>
    <t>2 Bedroom 1 Bathroom-Breakfast Bar</t>
  </si>
  <si>
    <t>704 Nottingham Road 7043B</t>
  </si>
  <si>
    <t>702 Nottingham Road 7021B</t>
  </si>
  <si>
    <t>702 Nottingham Road 7024A</t>
  </si>
  <si>
    <t>708 Nottingham Road 7083B</t>
  </si>
  <si>
    <t>702 Nottingham Road 7021A</t>
  </si>
  <si>
    <t>700 Nottingham Road 7001A</t>
  </si>
  <si>
    <t>702 Nottingham Road 7023A</t>
  </si>
  <si>
    <t>702 Nottingham Road 7024B</t>
  </si>
  <si>
    <t>0BR/1.0BA</t>
  </si>
  <si>
    <t>704 Nottingham Road 7044B</t>
  </si>
  <si>
    <t>702 Nottingham Road 7025B</t>
  </si>
  <si>
    <t>Unit/Flat/Apartment - BALTIMORE, MD</t>
  </si>
  <si>
    <t>708 Nottingham Road 7081A</t>
  </si>
  <si>
    <t>706 Nottingham Road 7065B</t>
  </si>
  <si>
    <t>704 Nottingham Road 7044A</t>
  </si>
  <si>
    <t>704 Nottingham Road 7041A</t>
  </si>
  <si>
    <t>708 Nottingham Road 7083A</t>
  </si>
  <si>
    <t>708 Nottingham Road 7082A</t>
  </si>
  <si>
    <t>700 Nottingham Road 7005B</t>
  </si>
  <si>
    <t>1BR/1.0BA</t>
  </si>
  <si>
    <t>707 Nottingham Road 7073B</t>
  </si>
  <si>
    <t>707 Nottingham Road 7075B</t>
  </si>
  <si>
    <t>707 Nottingham Road 7074A</t>
  </si>
  <si>
    <t>705 Nottingham Road 7054B</t>
  </si>
  <si>
    <t>705 Nottingham Road 7054A</t>
  </si>
  <si>
    <t>707 Nottingham Road 7071A</t>
  </si>
  <si>
    <t>705 Nottingham Road 7052A</t>
  </si>
  <si>
    <t>707 Nottingham Road 7074B</t>
  </si>
  <si>
    <t>707 Nottingham Road 7072B</t>
  </si>
  <si>
    <t>705 Nottingham Road 7053A</t>
  </si>
  <si>
    <t>709 Nottingham Road 7092A</t>
  </si>
  <si>
    <t>709 Nottingham Road 7091B</t>
  </si>
  <si>
    <t>709 Nottingham Road 7095A</t>
  </si>
  <si>
    <t>709 Nottingham Road 7095B</t>
  </si>
  <si>
    <t>709 Nottingham Road 7094A</t>
  </si>
  <si>
    <t>709 Nottingham Road 7094B</t>
  </si>
  <si>
    <t>Large One Bedroom</t>
  </si>
  <si>
    <t>Jr. 1 bath</t>
  </si>
  <si>
    <t>1 bedroom 1 bath</t>
  </si>
  <si>
    <t>2 bedroom 1 bath</t>
  </si>
  <si>
    <t>TORL-57</t>
  </si>
  <si>
    <t>TORL-43</t>
  </si>
  <si>
    <t>TORL-27</t>
  </si>
  <si>
    <t>CHAM-31G</t>
  </si>
  <si>
    <t>TORL-15</t>
  </si>
  <si>
    <t>TORL-35</t>
  </si>
  <si>
    <t>TORL-37</t>
  </si>
  <si>
    <t>TORL-45</t>
  </si>
  <si>
    <t>TORL-39</t>
  </si>
  <si>
    <t>TORL-55</t>
  </si>
  <si>
    <t>TORL-51</t>
  </si>
  <si>
    <t>TORL-23</t>
  </si>
  <si>
    <t>TORL-33</t>
  </si>
  <si>
    <t>CHAM-27E</t>
  </si>
  <si>
    <t>CHAM-43E</t>
  </si>
  <si>
    <t>CHAM-39E</t>
  </si>
  <si>
    <t>TORL-09D</t>
  </si>
  <si>
    <t>TORL-02B</t>
  </si>
  <si>
    <t>CHAM-43D</t>
  </si>
  <si>
    <t>TORL-09B</t>
  </si>
  <si>
    <t>TORL-08D</t>
  </si>
  <si>
    <t>CHAM-25F</t>
  </si>
  <si>
    <t>TORL-09C</t>
  </si>
  <si>
    <t>CHAM-17F</t>
  </si>
  <si>
    <t>TORL-10C</t>
  </si>
  <si>
    <t>TORL-04D</t>
  </si>
  <si>
    <t>TORL-03B</t>
  </si>
  <si>
    <t>CHAM-27F</t>
  </si>
  <si>
    <t>CHAM-41D</t>
  </si>
  <si>
    <t>TORL-09E</t>
  </si>
  <si>
    <t>TORL-08E</t>
  </si>
  <si>
    <t>CHAM-41F</t>
  </si>
  <si>
    <t>TORL-10E</t>
  </si>
  <si>
    <t>TORL-03E</t>
  </si>
  <si>
    <t>TORL-12B</t>
  </si>
  <si>
    <t>TORL-04F</t>
  </si>
  <si>
    <t>CHAM-25E</t>
  </si>
  <si>
    <t>CHAM-39F</t>
  </si>
  <si>
    <t>CHAM-39A</t>
  </si>
  <si>
    <t>TORL-02D</t>
  </si>
  <si>
    <t>CHAM-49B</t>
  </si>
  <si>
    <t>CHAM-49A</t>
  </si>
  <si>
    <t>CHAM-55F</t>
  </si>
  <si>
    <t>CHAM-15A</t>
  </si>
  <si>
    <t>CHAM-49C</t>
  </si>
  <si>
    <t>CHAM-51C</t>
  </si>
  <si>
    <t>CHAM-37D</t>
  </si>
  <si>
    <t>CHAM-45A</t>
  </si>
  <si>
    <t>TORL-07D</t>
  </si>
  <si>
    <t>TORL-05F</t>
  </si>
  <si>
    <t>CHAM-23F</t>
  </si>
  <si>
    <t>CHAM-45D</t>
  </si>
  <si>
    <t>CHAM-15E</t>
  </si>
  <si>
    <t>CHAM-63A</t>
  </si>
  <si>
    <t>CHAM-51F</t>
  </si>
  <si>
    <t>CHAM-37C</t>
  </si>
  <si>
    <t>CHAM-31F</t>
  </si>
  <si>
    <t>CHAM-31E</t>
  </si>
  <si>
    <t>CHAM-49D</t>
  </si>
  <si>
    <t>CHAM-23A</t>
  </si>
  <si>
    <t>TORL-07C</t>
  </si>
  <si>
    <t>CHAM-31C</t>
  </si>
  <si>
    <t>CHAM-51E</t>
  </si>
  <si>
    <t>CHAM-33F</t>
  </si>
  <si>
    <t>CHAM-55B</t>
  </si>
  <si>
    <t>CHAM-55E</t>
  </si>
  <si>
    <t>CHAM-49E</t>
  </si>
  <si>
    <t>CHAM-33E</t>
  </si>
  <si>
    <t>CHAM-61F</t>
  </si>
  <si>
    <t>CHAM-23B</t>
  </si>
  <si>
    <t>CHAM-61D</t>
  </si>
  <si>
    <t>CHAM-45F</t>
  </si>
  <si>
    <t>CHAM-55C</t>
  </si>
  <si>
    <t>TORL-07F</t>
  </si>
  <si>
    <t>CHAM-55D</t>
  </si>
  <si>
    <t>CHAM-23D</t>
  </si>
  <si>
    <t>CHAM-33D</t>
  </si>
  <si>
    <t>CHAM-61C</t>
  </si>
  <si>
    <t>CHAM-37F</t>
  </si>
  <si>
    <t>CHAM-31D</t>
  </si>
  <si>
    <t>CHAM-59A</t>
  </si>
  <si>
    <t>CHAM-57F</t>
  </si>
  <si>
    <t>CHAM-19E</t>
  </si>
  <si>
    <t>TORL-11E</t>
  </si>
  <si>
    <t>CHAM-35B</t>
  </si>
  <si>
    <t>CHAM-35D</t>
  </si>
  <si>
    <t>CHAM-59E</t>
  </si>
  <si>
    <t>CHAM-57C</t>
  </si>
  <si>
    <t>CHAM-19B</t>
  </si>
  <si>
    <t>CHAM-59F</t>
  </si>
  <si>
    <t>CHAM-47F</t>
  </si>
  <si>
    <t>CHAM-19C</t>
  </si>
  <si>
    <t>TORL-01F</t>
  </si>
  <si>
    <t>CHAM-57A</t>
  </si>
  <si>
    <t>TORL-01C</t>
  </si>
  <si>
    <t>CHAM-57E</t>
  </si>
  <si>
    <t>TORL-11B</t>
  </si>
  <si>
    <t>CHAM-19D</t>
  </si>
  <si>
    <t>CHAM-47C</t>
  </si>
  <si>
    <t>CHAM-19A</t>
  </si>
  <si>
    <t>CHAM-59C</t>
  </si>
  <si>
    <t>TORL-32</t>
  </si>
  <si>
    <t>TORL-30</t>
  </si>
  <si>
    <t>TORL-40</t>
  </si>
  <si>
    <t>TORL-50</t>
  </si>
  <si>
    <t>TORL-14</t>
  </si>
  <si>
    <t>TORL-42</t>
  </si>
  <si>
    <t>5372AC</t>
  </si>
  <si>
    <t>5371AC</t>
  </si>
  <si>
    <t>5432AJ</t>
  </si>
  <si>
    <t>5361AC</t>
  </si>
  <si>
    <t>5373AC</t>
  </si>
  <si>
    <t>5435AJ</t>
  </si>
  <si>
    <t>5448AJ</t>
  </si>
  <si>
    <t>5434AJ</t>
  </si>
  <si>
    <t>5365AC</t>
  </si>
  <si>
    <t>5425AJ</t>
  </si>
  <si>
    <t>5368AC</t>
  </si>
  <si>
    <t>5307AC</t>
  </si>
  <si>
    <t>5351AC</t>
  </si>
  <si>
    <t>5315AC</t>
  </si>
  <si>
    <t>5357AC</t>
  </si>
  <si>
    <t>5440AJ</t>
  </si>
  <si>
    <t>5429AJ</t>
  </si>
  <si>
    <t>5364AC</t>
  </si>
  <si>
    <t>5442AJ</t>
  </si>
  <si>
    <t>5341AC</t>
  </si>
  <si>
    <t>5374AC</t>
  </si>
  <si>
    <t>5375AC</t>
  </si>
  <si>
    <t>5355AC</t>
  </si>
  <si>
    <t>5433AJ</t>
  </si>
  <si>
    <t>5369AC</t>
  </si>
  <si>
    <t>5377AC</t>
  </si>
  <si>
    <t>5345AC</t>
  </si>
  <si>
    <t>5421AJ</t>
  </si>
  <si>
    <t>5303AC</t>
  </si>
  <si>
    <t>5359AC</t>
  </si>
  <si>
    <t>5430AJ</t>
  </si>
  <si>
    <t>5366AC</t>
  </si>
  <si>
    <t>5427AJ</t>
  </si>
  <si>
    <t>5347AC</t>
  </si>
  <si>
    <t>5309AC</t>
  </si>
  <si>
    <t>5436AJ</t>
  </si>
  <si>
    <t>5305AC</t>
  </si>
  <si>
    <t>5313AC</t>
  </si>
  <si>
    <t>5423AJ</t>
  </si>
  <si>
    <t>5363AC</t>
  </si>
  <si>
    <t>5317AC</t>
  </si>
  <si>
    <t>5360C</t>
  </si>
  <si>
    <t>5317J</t>
  </si>
  <si>
    <t>5339C</t>
  </si>
  <si>
    <t>48S</t>
  </si>
  <si>
    <t>5309C</t>
  </si>
  <si>
    <t>5444J</t>
  </si>
  <si>
    <t>5340J</t>
  </si>
  <si>
    <t>5344J</t>
  </si>
  <si>
    <t>5350L</t>
  </si>
  <si>
    <t>5323J</t>
  </si>
  <si>
    <t>5416J</t>
  </si>
  <si>
    <t>5307J</t>
  </si>
  <si>
    <t>38S</t>
  </si>
  <si>
    <t>5300J</t>
  </si>
  <si>
    <t>5328C</t>
  </si>
  <si>
    <t>5313C</t>
  </si>
  <si>
    <t>110S</t>
  </si>
  <si>
    <t>5354J</t>
  </si>
  <si>
    <t>5325C</t>
  </si>
  <si>
    <t>5448J</t>
  </si>
  <si>
    <t>5324J</t>
  </si>
  <si>
    <t>5401J</t>
  </si>
  <si>
    <t>5346J</t>
  </si>
  <si>
    <t>5349J</t>
  </si>
  <si>
    <t>26S</t>
  </si>
  <si>
    <t>5306L</t>
  </si>
  <si>
    <t>5406J</t>
  </si>
  <si>
    <t>5301C</t>
  </si>
  <si>
    <t>5428J</t>
  </si>
  <si>
    <t>5346C</t>
  </si>
  <si>
    <t>5343C</t>
  </si>
  <si>
    <t>5358L</t>
  </si>
  <si>
    <t>5352L</t>
  </si>
  <si>
    <t>28S</t>
  </si>
  <si>
    <t>22S</t>
  </si>
  <si>
    <t>5300C</t>
  </si>
  <si>
    <t>5363C</t>
  </si>
  <si>
    <t>5360L</t>
  </si>
  <si>
    <t>106S</t>
  </si>
  <si>
    <t>5350C</t>
  </si>
  <si>
    <t>5412J</t>
  </si>
  <si>
    <t>5315C</t>
  </si>
  <si>
    <t>5419J</t>
  </si>
  <si>
    <t>5362L</t>
  </si>
  <si>
    <t>5350J</t>
  </si>
  <si>
    <t>5331J</t>
  </si>
  <si>
    <t>5347C</t>
  </si>
  <si>
    <t>5352J</t>
  </si>
  <si>
    <t>5333J</t>
  </si>
  <si>
    <t>5335J</t>
  </si>
  <si>
    <t>5338L</t>
  </si>
  <si>
    <t>5314J</t>
  </si>
  <si>
    <t>5320J</t>
  </si>
  <si>
    <t>5435J</t>
  </si>
  <si>
    <t>5413J</t>
  </si>
  <si>
    <t>152S</t>
  </si>
  <si>
    <t>5318C</t>
  </si>
  <si>
    <t>5372C</t>
  </si>
  <si>
    <t>5356C</t>
  </si>
  <si>
    <t>120S</t>
  </si>
  <si>
    <t>5352C</t>
  </si>
  <si>
    <t>5320L</t>
  </si>
  <si>
    <t>18S</t>
  </si>
  <si>
    <t>5353C</t>
  </si>
  <si>
    <t>5341J</t>
  </si>
  <si>
    <t>5345J</t>
  </si>
  <si>
    <t>5361J</t>
  </si>
  <si>
    <t>5303J</t>
  </si>
  <si>
    <t>130S</t>
  </si>
  <si>
    <t>108S</t>
  </si>
  <si>
    <t>5371C</t>
  </si>
  <si>
    <t>24S</t>
  </si>
  <si>
    <t>5336J</t>
  </si>
  <si>
    <t>5409J</t>
  </si>
  <si>
    <t>12S</t>
  </si>
  <si>
    <t>5369C</t>
  </si>
  <si>
    <t>5325J</t>
  </si>
  <si>
    <t>138S</t>
  </si>
  <si>
    <t>5342J</t>
  </si>
  <si>
    <t>5403J</t>
  </si>
  <si>
    <t>5344L</t>
  </si>
  <si>
    <t>40S</t>
  </si>
  <si>
    <t>5319C</t>
  </si>
  <si>
    <t>5328J</t>
  </si>
  <si>
    <t>44S</t>
  </si>
  <si>
    <t>32S</t>
  </si>
  <si>
    <t>5304J</t>
  </si>
  <si>
    <t>5438J</t>
  </si>
  <si>
    <t>5351J</t>
  </si>
  <si>
    <t>5420J</t>
  </si>
  <si>
    <t>154S</t>
  </si>
  <si>
    <t>150S</t>
  </si>
  <si>
    <t>5423J</t>
  </si>
  <si>
    <t>5300L</t>
  </si>
  <si>
    <t>5422J</t>
  </si>
  <si>
    <t>5327C</t>
  </si>
  <si>
    <t>5335C</t>
  </si>
  <si>
    <t>5303C</t>
  </si>
  <si>
    <t>5436J</t>
  </si>
  <si>
    <t>5315J</t>
  </si>
  <si>
    <t>5424J</t>
  </si>
  <si>
    <t>5421J</t>
  </si>
  <si>
    <t>5359C</t>
  </si>
  <si>
    <t>140S</t>
  </si>
  <si>
    <t>5339J</t>
  </si>
  <si>
    <t>5340C</t>
  </si>
  <si>
    <t>5309J</t>
  </si>
  <si>
    <t>5301J</t>
  </si>
  <si>
    <t>5342C</t>
  </si>
  <si>
    <t>5302L</t>
  </si>
  <si>
    <t>5316C</t>
  </si>
  <si>
    <t>5426J</t>
  </si>
  <si>
    <t>5330J</t>
  </si>
  <si>
    <t>122S</t>
  </si>
  <si>
    <t>104S</t>
  </si>
  <si>
    <t>5361C</t>
  </si>
  <si>
    <t>5302J</t>
  </si>
  <si>
    <t>5314L</t>
  </si>
  <si>
    <t>160S</t>
  </si>
  <si>
    <t>5311J</t>
  </si>
  <si>
    <t>5404J</t>
  </si>
  <si>
    <t>5357J</t>
  </si>
  <si>
    <t>5431J</t>
  </si>
  <si>
    <t>112S</t>
  </si>
  <si>
    <t>5337C</t>
  </si>
  <si>
    <t>34S</t>
  </si>
  <si>
    <t>5414J</t>
  </si>
  <si>
    <t>5353J</t>
  </si>
  <si>
    <t>5405J</t>
  </si>
  <si>
    <t>5302C</t>
  </si>
  <si>
    <t>5311C</t>
  </si>
  <si>
    <t>5351C</t>
  </si>
  <si>
    <t>5425J</t>
  </si>
  <si>
    <t>5337J</t>
  </si>
  <si>
    <t>5370C</t>
  </si>
  <si>
    <t>46S</t>
  </si>
  <si>
    <t>5333C</t>
  </si>
  <si>
    <t>5342L</t>
  </si>
  <si>
    <t>128S</t>
  </si>
  <si>
    <t>5356L</t>
  </si>
  <si>
    <t>5322J</t>
  </si>
  <si>
    <t>156S</t>
  </si>
  <si>
    <t>5356J</t>
  </si>
  <si>
    <t>4S</t>
  </si>
  <si>
    <t>5306J</t>
  </si>
  <si>
    <t>5354C</t>
  </si>
  <si>
    <t>102S</t>
  </si>
  <si>
    <t>5308L</t>
  </si>
  <si>
    <t>5306C</t>
  </si>
  <si>
    <t>5430J</t>
  </si>
  <si>
    <t>5411J</t>
  </si>
  <si>
    <t>5358C</t>
  </si>
  <si>
    <t>5373C</t>
  </si>
  <si>
    <t>5326J</t>
  </si>
  <si>
    <t>42S</t>
  </si>
  <si>
    <t>124S</t>
  </si>
  <si>
    <t>5304L</t>
  </si>
  <si>
    <t>CR314D</t>
  </si>
  <si>
    <t>MW407N</t>
  </si>
  <si>
    <t>CR311A</t>
  </si>
  <si>
    <t>MW407A</t>
  </si>
  <si>
    <t>MW403D</t>
  </si>
  <si>
    <t>CR312N</t>
  </si>
  <si>
    <t>CR306D</t>
  </si>
  <si>
    <t>CR314N</t>
  </si>
  <si>
    <t>MW402M</t>
  </si>
  <si>
    <t>CR302B</t>
  </si>
  <si>
    <t>MW407B</t>
  </si>
  <si>
    <t>CR403N</t>
  </si>
  <si>
    <t>CR403C</t>
  </si>
  <si>
    <t>MW403N</t>
  </si>
  <si>
    <t>CR407B</t>
  </si>
  <si>
    <t>CR309A</t>
  </si>
  <si>
    <t>CR304A</t>
  </si>
  <si>
    <t>CR403A</t>
  </si>
  <si>
    <t>MW405A</t>
  </si>
  <si>
    <t>CR407H</t>
  </si>
  <si>
    <t>CR302G</t>
  </si>
  <si>
    <t>CR405F</t>
  </si>
  <si>
    <t>MW404F</t>
  </si>
  <si>
    <t>MW404C</t>
  </si>
  <si>
    <t>MW406B</t>
  </si>
  <si>
    <t>MW405I</t>
  </si>
  <si>
    <t>MW406I</t>
  </si>
  <si>
    <t>CR309E</t>
  </si>
  <si>
    <t>CR304K</t>
  </si>
  <si>
    <t>MW402C</t>
  </si>
  <si>
    <t>CR302H</t>
  </si>
  <si>
    <t>MW405D</t>
  </si>
  <si>
    <t>MW407D</t>
  </si>
  <si>
    <t>MW403A</t>
  </si>
  <si>
    <t>CR302D</t>
  </si>
  <si>
    <t>MW405K</t>
  </si>
  <si>
    <t>MW405F</t>
  </si>
  <si>
    <t>CR403E</t>
  </si>
  <si>
    <t>MW406F</t>
  </si>
  <si>
    <t>CR405B</t>
  </si>
  <si>
    <t>CR312G</t>
  </si>
  <si>
    <t>CR304L</t>
  </si>
  <si>
    <t>CR312L</t>
  </si>
  <si>
    <t>MW405B</t>
  </si>
  <si>
    <t>CR405C</t>
  </si>
  <si>
    <t>MW404L</t>
  </si>
  <si>
    <t>CR314I</t>
  </si>
  <si>
    <t>CR314B</t>
  </si>
  <si>
    <t>MW407G</t>
  </si>
  <si>
    <t>CR312K</t>
  </si>
  <si>
    <t>MW404J</t>
  </si>
  <si>
    <t>CR405J</t>
  </si>
  <si>
    <t>MW407K</t>
  </si>
  <si>
    <t>CR407K</t>
  </si>
  <si>
    <t>CR306J</t>
  </si>
  <si>
    <t>MW403K</t>
  </si>
  <si>
    <t>CR309K</t>
  </si>
  <si>
    <t>MW403G</t>
  </si>
  <si>
    <t>CR309H</t>
  </si>
  <si>
    <t>MW403H</t>
  </si>
  <si>
    <t>MW403L</t>
  </si>
  <si>
    <t>CR306K</t>
  </si>
  <si>
    <t>MW407J</t>
  </si>
  <si>
    <t>MW406K</t>
  </si>
  <si>
    <t>CR403G</t>
  </si>
  <si>
    <t>CR403L</t>
  </si>
  <si>
    <t>CR302E</t>
  </si>
  <si>
    <t>CR312J</t>
  </si>
  <si>
    <t>CR314H</t>
  </si>
  <si>
    <t>CR314K</t>
  </si>
  <si>
    <t>CR312I</t>
  </si>
  <si>
    <t>CA4906</t>
  </si>
  <si>
    <t>CA4942</t>
  </si>
  <si>
    <t>CL5090</t>
  </si>
  <si>
    <t>B2011</t>
  </si>
  <si>
    <t>CA5058</t>
  </si>
  <si>
    <t>CA4854</t>
  </si>
  <si>
    <t>CA4962</t>
  </si>
  <si>
    <t>CA4838</t>
  </si>
  <si>
    <t>CA5010</t>
  </si>
  <si>
    <t>CL5078</t>
  </si>
  <si>
    <t>CA4850</t>
  </si>
  <si>
    <t>B2059</t>
  </si>
  <si>
    <t>B2047</t>
  </si>
  <si>
    <t>CA5022</t>
  </si>
  <si>
    <t>CA5014</t>
  </si>
  <si>
    <t>CA4858</t>
  </si>
  <si>
    <t>B2035</t>
  </si>
  <si>
    <t>CA5018</t>
  </si>
  <si>
    <t>CA4818</t>
  </si>
  <si>
    <t>CA4810</t>
  </si>
  <si>
    <t>CA4862</t>
  </si>
  <si>
    <t>CA5006</t>
  </si>
  <si>
    <t>CA4918</t>
  </si>
  <si>
    <t>B2043</t>
  </si>
  <si>
    <t>B2019</t>
  </si>
  <si>
    <t>B2007</t>
  </si>
  <si>
    <t>CA4866</t>
  </si>
  <si>
    <t>CA4806</t>
  </si>
  <si>
    <t>CA4910</t>
  </si>
  <si>
    <t>B1947</t>
  </si>
  <si>
    <t>B1943</t>
  </si>
  <si>
    <t>CA5038</t>
  </si>
  <si>
    <t>CA4934</t>
  </si>
  <si>
    <t>B1939</t>
  </si>
  <si>
    <t>CA4970</t>
  </si>
  <si>
    <t>B1923</t>
  </si>
  <si>
    <t>O5120</t>
  </si>
  <si>
    <t>O5116</t>
  </si>
  <si>
    <t>CA4902</t>
  </si>
  <si>
    <t>CA4870</t>
  </si>
  <si>
    <t>CL4852</t>
  </si>
  <si>
    <t>CA4944</t>
  </si>
  <si>
    <t>CA4930</t>
  </si>
  <si>
    <t>B2055</t>
  </si>
  <si>
    <t>CL4826</t>
  </si>
  <si>
    <t>CL4944</t>
  </si>
  <si>
    <t>CL5028</t>
  </si>
  <si>
    <t>CA4868</t>
  </si>
  <si>
    <t>CL4910</t>
  </si>
  <si>
    <t>CL4862</t>
  </si>
  <si>
    <t>F2003</t>
  </si>
  <si>
    <t>CL5004</t>
  </si>
  <si>
    <t>CL4964</t>
  </si>
  <si>
    <t>CA5030</t>
  </si>
  <si>
    <t>CL5060</t>
  </si>
  <si>
    <t>O5100A</t>
  </si>
  <si>
    <t>CL5098</t>
  </si>
  <si>
    <t>F2007</t>
  </si>
  <si>
    <t>CL5030</t>
  </si>
  <si>
    <t>CL4972</t>
  </si>
  <si>
    <t>CL4858</t>
  </si>
  <si>
    <t>CA5050</t>
  </si>
  <si>
    <t>CL4942</t>
  </si>
  <si>
    <t>CL4960</t>
  </si>
  <si>
    <t>B2053</t>
  </si>
  <si>
    <t>O5128</t>
  </si>
  <si>
    <t>CL5052</t>
  </si>
  <si>
    <t>CA4950</t>
  </si>
  <si>
    <t>CL5010</t>
  </si>
  <si>
    <t>B1919</t>
  </si>
  <si>
    <t>CL4856</t>
  </si>
  <si>
    <t>CL5096</t>
  </si>
  <si>
    <t>CL4930</t>
  </si>
  <si>
    <t>CL4838</t>
  </si>
  <si>
    <t>CL5040</t>
  </si>
  <si>
    <t>CL4812</t>
  </si>
  <si>
    <t>CA4948</t>
  </si>
  <si>
    <t>CA4972</t>
  </si>
  <si>
    <t>CL4926</t>
  </si>
  <si>
    <t>CL4832</t>
  </si>
  <si>
    <t>CL5006</t>
  </si>
  <si>
    <t>CL5058</t>
  </si>
  <si>
    <t>B2027</t>
  </si>
  <si>
    <t>B2003</t>
  </si>
  <si>
    <t>CL5024</t>
  </si>
  <si>
    <t>CL5038</t>
  </si>
  <si>
    <t>CL4928</t>
  </si>
  <si>
    <t>CL4824</t>
  </si>
  <si>
    <t>O5104</t>
  </si>
  <si>
    <t>CA4974</t>
  </si>
  <si>
    <t>O5126</t>
  </si>
  <si>
    <t>CL4836</t>
  </si>
  <si>
    <t>CL4866</t>
  </si>
  <si>
    <t>CL4956</t>
  </si>
  <si>
    <t>CA5062</t>
  </si>
  <si>
    <t>CA5002</t>
  </si>
  <si>
    <t>CL5032</t>
  </si>
  <si>
    <t>CL4968</t>
  </si>
  <si>
    <t>CL4908</t>
  </si>
  <si>
    <t>CL4810</t>
  </si>
  <si>
    <t>CL4806</t>
  </si>
  <si>
    <t>CL4854</t>
  </si>
  <si>
    <t>CL4934</t>
  </si>
  <si>
    <t>O5124</t>
  </si>
  <si>
    <t>B1903</t>
  </si>
  <si>
    <t>CA5026</t>
  </si>
  <si>
    <t>O5122</t>
  </si>
  <si>
    <t>CL4860</t>
  </si>
  <si>
    <t>CA4830</t>
  </si>
  <si>
    <t>CL5022</t>
  </si>
  <si>
    <t>CL4850</t>
  </si>
  <si>
    <t>B1951</t>
  </si>
  <si>
    <t>CL4948</t>
  </si>
  <si>
    <t>CL4938</t>
  </si>
  <si>
    <t>B1915</t>
  </si>
  <si>
    <t>B1929</t>
  </si>
  <si>
    <t>CL4924</t>
  </si>
  <si>
    <t>CL5044</t>
  </si>
  <si>
    <t>CL4878</t>
  </si>
  <si>
    <t>CA4924</t>
  </si>
  <si>
    <t>B1917</t>
  </si>
  <si>
    <t>B1933</t>
  </si>
  <si>
    <t>CL4870</t>
  </si>
  <si>
    <t>CA4802</t>
  </si>
  <si>
    <t>B2067</t>
  </si>
  <si>
    <t>CA5000</t>
  </si>
  <si>
    <t>B1931</t>
  </si>
  <si>
    <t>CA5044</t>
  </si>
  <si>
    <t>CL5054</t>
  </si>
  <si>
    <t>CL4814</t>
  </si>
  <si>
    <t>CL5062</t>
  </si>
  <si>
    <t>CL4818</t>
  </si>
  <si>
    <t>CL5084</t>
  </si>
  <si>
    <t>CL4848</t>
  </si>
  <si>
    <t>B2001</t>
  </si>
  <si>
    <t>CA4840</t>
  </si>
  <si>
    <t>CL4922</t>
  </si>
  <si>
    <t>CL4872</t>
  </si>
  <si>
    <t>CL5018</t>
  </si>
  <si>
    <t>B1935</t>
  </si>
  <si>
    <t>CL5008</t>
  </si>
  <si>
    <t>CL4844</t>
  </si>
  <si>
    <t>CL5020</t>
  </si>
  <si>
    <t>CL5034</t>
  </si>
  <si>
    <t>CL4974</t>
  </si>
  <si>
    <t>CL4958</t>
  </si>
  <si>
    <t>CL4842</t>
  </si>
  <si>
    <t>CL4802</t>
  </si>
  <si>
    <t>CL4918</t>
  </si>
  <si>
    <t>CA4946</t>
  </si>
  <si>
    <t>CL4916</t>
  </si>
  <si>
    <t>CA4928</t>
  </si>
  <si>
    <t>CA5060</t>
  </si>
  <si>
    <t>CL4970</t>
  </si>
  <si>
    <t>CA4960</t>
  </si>
  <si>
    <t>CA4956</t>
  </si>
  <si>
    <t>CL5088</t>
  </si>
  <si>
    <t>B1945</t>
  </si>
  <si>
    <t>CA4856</t>
  </si>
  <si>
    <t>CA4808</t>
  </si>
  <si>
    <t>B2013</t>
  </si>
  <si>
    <t>CA4916</t>
  </si>
  <si>
    <t>B2057</t>
  </si>
  <si>
    <t>CL5092</t>
  </si>
  <si>
    <t>O5114</t>
  </si>
  <si>
    <t>CA4952</t>
  </si>
  <si>
    <t>CA5008</t>
  </si>
  <si>
    <t>CA4904</t>
  </si>
  <si>
    <t>CA4940</t>
  </si>
  <si>
    <t>CA5020</t>
  </si>
  <si>
    <t>B2045</t>
  </si>
  <si>
    <t>CA4804</t>
  </si>
  <si>
    <t>CA4852</t>
  </si>
  <si>
    <t>B2037</t>
  </si>
  <si>
    <t>CA5016</t>
  </si>
  <si>
    <t>B1937</t>
  </si>
  <si>
    <t>CA4920</t>
  </si>
  <si>
    <t>O5118</t>
  </si>
  <si>
    <t>CA5056</t>
  </si>
  <si>
    <t>CA5012</t>
  </si>
  <si>
    <t>B2005</t>
  </si>
  <si>
    <t>B2033</t>
  </si>
  <si>
    <t>CA4812</t>
  </si>
  <si>
    <t>CA4832</t>
  </si>
  <si>
    <t>B2061</t>
  </si>
  <si>
    <t>CA4848</t>
  </si>
  <si>
    <t>CA5032</t>
  </si>
  <si>
    <t>B1905</t>
  </si>
  <si>
    <t>CA4820</t>
  </si>
  <si>
    <t>B1921</t>
  </si>
  <si>
    <t>O5130</t>
  </si>
  <si>
    <t>CA4816</t>
  </si>
  <si>
    <t>CA4836</t>
  </si>
  <si>
    <t>B2009</t>
  </si>
  <si>
    <t>B1941</t>
  </si>
  <si>
    <t>B1909</t>
  </si>
  <si>
    <t>O5110</t>
  </si>
  <si>
    <t>O5106</t>
  </si>
  <si>
    <t>CA5036</t>
  </si>
  <si>
    <t>B1925</t>
  </si>
  <si>
    <t>CA4912</t>
  </si>
  <si>
    <t>CA5040</t>
  </si>
  <si>
    <t>CL5072</t>
  </si>
  <si>
    <t>CL5076</t>
  </si>
  <si>
    <t>59081B</t>
  </si>
  <si>
    <t>15441F</t>
  </si>
  <si>
    <t>15441E</t>
  </si>
  <si>
    <t>59061D</t>
  </si>
  <si>
    <t>59161A</t>
  </si>
  <si>
    <t>59001C</t>
  </si>
  <si>
    <t>59021A</t>
  </si>
  <si>
    <t>59221A</t>
  </si>
  <si>
    <t>59061B</t>
  </si>
  <si>
    <t>15441C</t>
  </si>
  <si>
    <t>59041B</t>
  </si>
  <si>
    <t>59061F</t>
  </si>
  <si>
    <t>59021C</t>
  </si>
  <si>
    <t>59001A</t>
  </si>
  <si>
    <t>59122E</t>
  </si>
  <si>
    <t>59201B</t>
  </si>
  <si>
    <t>59121F</t>
  </si>
  <si>
    <t>59123B</t>
  </si>
  <si>
    <t>59042B</t>
  </si>
  <si>
    <t>59101A</t>
  </si>
  <si>
    <t>59223B</t>
  </si>
  <si>
    <t>15443F</t>
  </si>
  <si>
    <t>59002C</t>
  </si>
  <si>
    <t>15443C</t>
  </si>
  <si>
    <t>59043B</t>
  </si>
  <si>
    <t>59161B</t>
  </si>
  <si>
    <t>59062F</t>
  </si>
  <si>
    <t>59063F</t>
  </si>
  <si>
    <t>59102B</t>
  </si>
  <si>
    <t>15461B</t>
  </si>
  <si>
    <t>59181B</t>
  </si>
  <si>
    <t>59101B</t>
  </si>
  <si>
    <t>59103B</t>
  </si>
  <si>
    <t>59121B</t>
  </si>
  <si>
    <t>59003A</t>
  </si>
  <si>
    <t>15442B</t>
  </si>
  <si>
    <t>15423B</t>
  </si>
  <si>
    <t>59043C</t>
  </si>
  <si>
    <t>59163C</t>
  </si>
  <si>
    <t>59022A</t>
  </si>
  <si>
    <t>15443D</t>
  </si>
  <si>
    <t>59063D</t>
  </si>
  <si>
    <t>59102A</t>
  </si>
  <si>
    <t>15463B</t>
  </si>
  <si>
    <t>59061E</t>
  </si>
  <si>
    <t>15423A</t>
  </si>
  <si>
    <t>15443A</t>
  </si>
  <si>
    <t>59023A</t>
  </si>
  <si>
    <t>59063E</t>
  </si>
  <si>
    <t>59021B</t>
  </si>
  <si>
    <t>59042A</t>
  </si>
  <si>
    <t>59002B</t>
  </si>
  <si>
    <t>59161C</t>
  </si>
  <si>
    <t>59062D</t>
  </si>
  <si>
    <t>59142B</t>
  </si>
  <si>
    <t>59143B</t>
  </si>
  <si>
    <t>15421A</t>
  </si>
  <si>
    <t>59102C</t>
  </si>
  <si>
    <t>15441B</t>
  </si>
  <si>
    <t>59222A</t>
  </si>
  <si>
    <t>59062A</t>
  </si>
  <si>
    <t>59123F</t>
  </si>
  <si>
    <t>59142A</t>
  </si>
  <si>
    <t>59182C</t>
  </si>
  <si>
    <t>59063C</t>
  </si>
  <si>
    <t>15462A</t>
  </si>
  <si>
    <t>59122D</t>
  </si>
  <si>
    <t>59123A</t>
  </si>
  <si>
    <t>15463A</t>
  </si>
  <si>
    <t>59141B</t>
  </si>
  <si>
    <t>59203A</t>
  </si>
  <si>
    <t>59121D</t>
  </si>
  <si>
    <t>59082A</t>
  </si>
  <si>
    <t>59082B</t>
  </si>
  <si>
    <t>59063A</t>
  </si>
  <si>
    <t>59202C</t>
  </si>
  <si>
    <t>59183C</t>
  </si>
  <si>
    <t>15441D</t>
  </si>
  <si>
    <t>7023A</t>
  </si>
  <si>
    <t>7083B</t>
  </si>
  <si>
    <t>7064A</t>
  </si>
  <si>
    <t>7062A</t>
  </si>
  <si>
    <t>7043B</t>
  </si>
  <si>
    <t>7041A</t>
  </si>
  <si>
    <t>7052B</t>
  </si>
  <si>
    <t>7084B</t>
  </si>
  <si>
    <t>7003B</t>
  </si>
  <si>
    <t>7005B</t>
  </si>
  <si>
    <t>7054A</t>
  </si>
  <si>
    <t>907-2A</t>
  </si>
  <si>
    <t>909-1A</t>
  </si>
  <si>
    <t>908-5B</t>
  </si>
  <si>
    <t>902-3A</t>
  </si>
  <si>
    <t>908-1B</t>
  </si>
  <si>
    <t>904-3B</t>
  </si>
  <si>
    <t>905-5B</t>
  </si>
  <si>
    <t>[]</t>
  </si>
  <si>
    <t>[Classic Style Full Size Appliances Disposal Range Mini-blinds Vertical Blinds]</t>
  </si>
  <si>
    <t>[Full Size Appliances Disposal Range Mini-blinds Vertical Blinds]</t>
  </si>
  <si>
    <t>[Mid Upgrade Full Size Appliances Disposal Range Mini-blinds Vertical Blinds]</t>
  </si>
  <si>
    <t>[Renovation]</t>
  </si>
  <si>
    <t>[Classic Style Renovation]</t>
  </si>
  <si>
    <t>[Renovation Renovation]</t>
  </si>
  <si>
    <t>[Classic Style Mid Upgrade Full Size Appliances Disposal Range Mini-blinds Vertical Blinds]</t>
  </si>
  <si>
    <t>[Renovation Full Size Appliances Disposal Range Mini-blinds Vertical Blinds]</t>
  </si>
  <si>
    <t>[Classic Style Renovation Full Size Appliances Disposal Range Mini-blinds Vertical Blinds]</t>
  </si>
  <si>
    <t>[Top Floor with Balcony]</t>
  </si>
  <si>
    <t>[Middle Floor with Balcony]</t>
  </si>
  <si>
    <t>[Terrace Level with Patio]</t>
  </si>
  <si>
    <t>[Microwave Dishwasher]</t>
  </si>
  <si>
    <t>[Microwave Dishwasher Tile Backsplash]</t>
  </si>
  <si>
    <t>[Microwave Stackable Washer and Dryer Dishwasher]</t>
  </si>
  <si>
    <t>[Tile Backsplash Microwave Dishwasher]</t>
  </si>
  <si>
    <t>[Tile Backsplash Microwave Dishwasher Stackable Washer and Dryer]</t>
  </si>
  <si>
    <t>[Microwave Stackable Washer and Dryer Dishwasher Tile Backsplash]</t>
  </si>
  <si>
    <t>[Microwave Corner Apartment Dishwasher]</t>
  </si>
  <si>
    <t>[Microwave Corner Apartment Stackable Washer and Dryer Dishwasher]</t>
  </si>
  <si>
    <t>[Tile Backsplash Microwave Stackable Washer and Dryer Dishwasher]</t>
  </si>
  <si>
    <t>[Microwave Vinyl Flooring Stackable Washer and Dryer Dishwasher]</t>
  </si>
  <si>
    <t>[Tile Backsplash Microwave Corner Apartment Stackable Washer and Dryer Dishwasher]</t>
  </si>
  <si>
    <t>[Microwave Stackable Washer and Dryer Dishwasher Plank Flooring]</t>
  </si>
  <si>
    <t>[Tile Backsplash Microwave Corner Apartment Dishwasher]</t>
  </si>
  <si>
    <t>[Microwave Corner Apartment Dishwasher Tile Backsplash]</t>
  </si>
  <si>
    <t>[Microwave Corner Apartment Stackable Washer and Dryer Dishwasher Plank Flooring]</t>
  </si>
  <si>
    <t>[Black Appliances Tile Backsplash Microwave Six-Panel Doors Cherry Cabinets Dishwasher]</t>
  </si>
  <si>
    <t>[Microwave Dishwasher Stackable Washer and Dryer]</t>
  </si>
  <si>
    <t>[Microwave Vinyl Flooring Dishwasher]</t>
  </si>
  <si>
    <t>[Tile Backsplash Microwave Cherry Cabinets Stackable Washer and Dryer Dishwasher]</t>
  </si>
  <si>
    <t>[balcony_patio]</t>
  </si>
  <si>
    <t>[townhome balcony_patio]</t>
  </si>
  <si>
    <t>[renovated renovated.partially balcony_patio]</t>
  </si>
  <si>
    <t>[renovated]</t>
  </si>
  <si>
    <t>[renovated balcony_patio]</t>
  </si>
  <si>
    <t>[floor.penthouse floor balcony_patio]</t>
  </si>
  <si>
    <t>[den]</t>
  </si>
  <si>
    <t>[floor.penthouse den floor balcony_patio]</t>
  </si>
  <si>
    <t>[townhome dishwasher]</t>
  </si>
  <si>
    <t>[townhome]</t>
  </si>
  <si>
    <t>[washer_dryer washer_dryer.stackable townhome dishwasher]</t>
  </si>
  <si>
    <t>[dishwasher townhome corner_unit]</t>
  </si>
  <si>
    <t>[washer_dryer.stackable corner_unit washer_dryer townhome dishwasher]</t>
  </si>
  <si>
    <t>[laundry_room landscaping security_system business_center]</t>
  </si>
  <si>
    <t>[playground online_payment_portal laundry_service dogs_allowed additional_storage_space_outside_unit barbecue_grill cats_allowed swimming_pool hot_tub ada_compliant laundry_room landscaping on_site_management terrace on_site_maintenance pets_allowed 24_hour_maintenance]</t>
  </si>
  <si>
    <t>[courtyard playground online_payment_portal dogs_allowed cats_allowed accepts_housing_voucher ada_compliant guest_parking on_site_management valet_trash_service on_site_maintenance pets_allowed 24_hour_maintenance]</t>
  </si>
  <si>
    <t>[playground laundry_service 24_hour_maintenance dogs_allowed additional_storage_space_outside_unit cats_allowed laundry_room community_chef_kitchen_space on_site_maintenance controlled_access ada_compliant]</t>
  </si>
  <si>
    <t>[community_dog_park playground courtyard dogs_allowed additional_storage_space_outside_unit cats_allowed game_room swimming_pool resident_events ada_compliant on_site_management non_smoking on_site_maintenance pets_allowed 24_hour_maintenance]</t>
  </si>
  <si>
    <t>[playground online_payment_portal laundry_service 24_hour_maintenance dogs_allowed barbecue_grill sunroom cats_allowed gated_community_access resident_events controlled_access laundry_room picnic_area on_site_management business_center on_site_maintenance bilingual]</t>
  </si>
  <si>
    <t>[playground laundry_service dogs_allowed cats_allowed reserved_parking controlled_access laundry_room landscaping on_site_management recycling non_smoking on_site_maintenance ada_compliant]</t>
  </si>
  <si>
    <t>[laundry_room community_garden on_site_management dogs_allowed additional_storage_space_outside_unit cats_allowed non_smoking controlled_access]</t>
  </si>
  <si>
    <t>[carpet oven air_conditioning sewer_included refrigerator window_covering yard tile_floor garbage_disposal view furnished hardwood_floor water_included range bath_tub]</t>
  </si>
  <si>
    <t>[carpet air_conditioning bath_tub refrigerator fireplace window_covering breakfast_bar dishwasher washer_dryer_in_unit yard dining_room eat_in_kitchen garbage_disposal view hardwood_floor range patio_or_balcony oven]</t>
  </si>
  <si>
    <t>[air_conditioning central_heat window_covering granite_countertops washer_dryer_in_unit dishwasher microwave eat_in_kitchen central_air_conditioning nature_view range bath_tub carpet refrigerator city_view recently_renovated stainless_steel_appliances garbage_disposal view hardwood_floor patio_or_balcony oven]</t>
  </si>
  <si>
    <t>[air_conditioning central_heat sewer_included window_covering dishwasher washer_dryer_in_unit dining_room eat_in_kitchen smart_thermostat trash_service_included range water_included bath_tub carpet large_closets refrigerator recently_renovated den garbage_disposal furnished walk_in_closet oven]</t>
  </si>
  <si>
    <t>[air_conditioning vinyl_floor internet_included window_covering dishwasher washer_dryer_in_unit granite_countertops microwave dining_room eat_in_kitchen range faux_wood_floor carpet large_closets refrigerator walk_in_closet recently_renovated stainless_steel_appliances backsplash black_appliances yard garbage_disposal tile_floor view hardwood_floor patio_or_balcony oven]</t>
  </si>
  <si>
    <t>[air_conditioning central_heat vinyl_floor window_covering dishwasher dining_room large_bedrooms range bath_tub kitchen_island carpet ceiling_fan large_closets refrigerator deck walk_in_closet stainless_steel_appliances garbage_disposal tile_floor patio_or_balcony oven]</t>
  </si>
  <si>
    <t>[oven air_conditioning central_heat vinyl_floor sewer_included window_covering dining_room washer_dryer_in_unit eat_in_kitchen central_air_conditioning large_bedrooms fully_upgraded trash_service_included range water_included bath_tub living_room carpet large_closets heat_included refrigerator walk_in_closet recently_renovated yard garbage_disposal tile_floor view electricity_included hardwood_floor patio_or_balcony window_ac_unit]</t>
  </si>
  <si>
    <t>[living_room air_conditioning ceiling_fan heat_included open_floor_plan refrigerator washer_dryer_in_unit eat_in_kitchen tile_floor garbage_disposal large_bedrooms hardwood_floor water_included patio_or_balcony oven]</t>
  </si>
  <si>
    <t>4/10</t>
  </si>
  <si>
    <t>6/10</t>
  </si>
  <si>
    <t>5/10</t>
  </si>
  <si>
    <t>3/10</t>
  </si>
  <si>
    <t>7/10</t>
  </si>
  <si>
    <t>-</t>
  </si>
  <si>
    <t>Rent: $1,299 - $1,299</t>
  </si>
  <si>
    <t>Rent: $1,299 - $1,479</t>
  </si>
  <si>
    <t>Move in Within the Month of August to be Entered in a $500 Visa Gift Card Raffle!!</t>
  </si>
  <si>
    <t>Ring in the Savings: Secure $500 Off Monthly Rent for Your First 3 Months! Move in by 12/31/2023 – Start the New Year in Your New Home!</t>
  </si>
  <si>
    <t>Apply &amp; Move-In by 2/14/2024 to Receive the Sweetest Deal: a Rent-FREE March!!!!! *Select Homes &amp; 12 Month Leases Only*</t>
  </si>
  <si>
    <t>Begin your journey here! Move in by April 30th and receive your first full month of rent FREE (12 MONTH LEASES ONLY)! APPLY NOW and make your dream home a reality! Secure your spot between 3/26/24-3/31/24 for a $200 grocery gift card!</t>
  </si>
  <si>
    <t>Begin your journey here! Move in by April 30th and receive your first full month of rent FREE! APPLY NOW and make your dream home a reality!</t>
  </si>
  <si>
    <t>Spring into $avings: Secure Your Spot by May 20th and Move in by June 1st to Receive a $500 Visa Gift Card!</t>
  </si>
  <si>
    <t>Apply + Move-In by June 29th to Receive $500 Off Your First 3 Month`s of Rent! *12-Month Lease Required*</t>
  </si>
  <si>
    <t>Going for Gold: Apply + Move In between July 15th - July 27th to CHOOSE between two offers!! Offer #1: $1000 off October + November's Rent -OR- Offer #2: Apply + Move-In on the SAME DAY for First Full Month Rent FREE + Entry in $300 Visa Gift Card Raffle!!</t>
  </si>
  <si>
    <t>Going for Gold: EXTENDED!!!! Apply + Move In between July 15th - August 3rd to CHOOSE between two offers!! Offer #1: $1000 off October + November's Rent -OR- Offer #2: Apply + Move-In on the SAME DAY for First Full Month Rent FREE + Entry in $300 Visa Gift Card Raffle!!</t>
  </si>
  <si>
    <t>🥇 SAME DAY MOVE-INS: FIRST FULL MONTH OF RENT FREE (August/September) + Entry in a $300 Visa Gift Card Raffle!! 🥇</t>
  </si>
  <si>
    <t>Option #2:🥇 SAME DAY MOVE-INS: FIRST FULL MONTH OF RENT FREE (August/September) + Entry in a $300 Visa Gift Card Raffle!! 🥇</t>
  </si>
  <si>
    <t>WAIVED Pro-rated Rent!</t>
  </si>
  <si>
    <t>Apply and move in by September 20th, 2024, for Two Months Rent-Free: January 2025 &amp; March 2025 AND receive $500 off October’s rent!</t>
  </si>
  <si>
    <t>Apply and move in by October 4th to PAY NO RENT until January 2025!.</t>
  </si>
  <si>
    <t>Apply and move in by October 4th to PAY NO RENT until January 2025! Don't miss out -APPLY NOW!. Offer Valid on Select Homes with a 15-Month Lease ONLY.Restrictions Apply - Inquire Within Apply NOW to Seal the Deal on your NEW Home, today! APPLY NOW. This offer won't last!! Availability is Limited. Make Your New Home, At Home with Atlantic!</t>
  </si>
  <si>
    <t>Apply and move in by October 4th to PAY NO RENT until January 2025! Don't miss out - APPLY NOW! . Offer Valid on Select Homes with a 15-Month Lease ONLY. Restrictions Apply - Inquire Within Apply NOW to Seal the Deal on your NEW Home, today! APPLY NOW . This offer won't last!! Availability is Limited. Make Your New Home, At Home with Atlantic !</t>
  </si>
  <si>
    <t>APPLY AND MOVE INTO A
SELECTED HOME WITH A 13-MONTH LEASE BY FEBRUARY 21ST, 2025 TO RECEIVE WAIVED PRO-RATED
RENT AND A $200 GIANT GROCERY GIFT CARD! Offer Valid on Select Homes with 14-Month Lease ONLY. Restrictions Apply - Inquire Within Apply NOW to Seal the Deal on your NEW Home, today! CLICK HERE TO APPLY NOW! . This offer won't last!! Availability is Limited. Make Your New Home, At Home with Atlantic!</t>
  </si>
  <si>
    <t>APPLY + MOVE-IN BY MARCH 31ST TO RECEIVE YOUR FIRST FULL MONTH FREE ! ﻿ At Williston, we
believe every new chapter deserves to be celebrated. Secure
your new home today and enjoy extra savings right from the start. Offer Activates With Selection of REQUIRED 14-Month Lease Term. Restrictions Apply -
Inquire Within Apply
NOW to Seal the Deal on your NEW Home, today! APPLY NOW . Availability is Limited. Make Your New Home, At Home with Atlantic !</t>
  </si>
  <si>
    <t>APPLY + MOVE-IN BY APRIL 30TH TO RECEIVE YOUR FIRST FULL MONTH FREE ON SELECT HOMES ! Offer Activates with Selection of Required 13-Month Lease. Restrictions Apply - Inquire Within Apply NOW to Seal the Deal on your NEW Home, today! CLICK HERE TO APPLY NOW! . This offer won't last!! Availability is Limited. Make Your New Home, At Home with Atlantic!</t>
  </si>
  <si>
    <t>5% Off And Up To $300 Waived!!!!! *Prices and Specials Subject to Change.</t>
  </si>
  <si>
    <t>z-20% Police z-5% Firefighter z-5% Medical z-5% Military z-5% Police z-5% Senior z-5% Student z-5% Teacher</t>
  </si>
  <si>
    <t>z - 2 0 %   P o l i c e ;   z - 5 %   F i r e f i g h t e r ;   z - 5 %   M e d i c a l ;   z - 5 %   M i l i t a r y ;   z - 5 %   P o l i c e ;   z - 5 %   S e n i o r ;   z - 5 %   S t u d e n t ;   z - 5 %   T e a c h e r .</t>
  </si>
  <si>
    <t>Open House Saturday June 24th! Waived Application Fee, $350 &amp; $250 Off Select Homes and One Free Accent Wall! *Must apply during Open House and move in by July 31st. Offers on select homes only. Other restrictions may apply. Limited time offer.</t>
  </si>
  <si>
    <t>Open House July 1st! Waived Application Fee, $350 &amp; $250 Off Select Homes and One Free Accent Wall! *Must apply during Open House and move in by July 31st. Offers on select homes only. Other restrictions may apply. Limited time offer.</t>
  </si>
  <si>
    <t>Open House June 30th and July 1st! Waived Application Fee, $350 &amp; $250 Off Select Homes and One Free Accent Wall! *Must apply during Open House and move in by July 31st. Offers on select homes only. Other restrictions may apply. Limited time offer.</t>
  </si>
  <si>
    <t>Open House Friday July 7 &amp; Saturday July 8! $500 Off 2 &amp; 3 Bedroom Townhomes! Waived Application Fee &amp; One Free Accent Wall if you apply during Open House! *Must apply by July 21 and move in by July 31, 2023. Other restrictions may apply. Limited time offer.</t>
  </si>
  <si>
    <t>$500 Off 2 &amp; 3 Bedroom Townhomes! Waived Application Fee &amp; One Free Accent Wall if you apply during Open House! *Must apply by July 21 and move in by July 31, 2023. Other restrictions may apply. Limited time offer.</t>
  </si>
  <si>
    <t>$500 Off Select 2 &amp; 3 Bedroom Townhomes! *Must apply by July 21 and move in by July 31, 2023. Other restrictions may apply. Limited time offer.</t>
  </si>
  <si>
    <t>Open House August 4-5! $500 Off Select Townhomes! *Must move in by August 18, 2023. Other restrictions may apply. Limited time offer.</t>
  </si>
  <si>
    <t>Open House August 11-12! $500 Off Select Townhomes! *Must move in by August 18, 2023. Other restrictions may apply. Limited time offer.</t>
  </si>
  <si>
    <t>$500 Off Select Townhomes! *Must move in by August 18, 2023. Other restrictions may apply. Limited time offer.</t>
  </si>
  <si>
    <t>New Reduced Pricing on 1 &amp; 2 Bedroom Townhomes and $500 Off 3 Bedroom Townhomes! *Must move in by August 31, 2023. Other restrictions may apply. Limited time offer.</t>
  </si>
  <si>
    <t>Up to $500 Off On Select Apartment Homes! Limited Time Offer. Certain Restrictions Apply. Must Move In by 11/17/23.</t>
  </si>
  <si>
    <t>$250 Off First Month's Rent on select 2-Bedrooms &amp; $500 Off First Month's Rent on select 3-Bedrooms! Apply Today! Limited time offer. Must move in by 5/31/24. Addresses for 2br - CA4830 and CL4812 &amp; 3br - CA4832, B2013 and CA4956 only.</t>
  </si>
  <si>
    <t>New Lower Pricing! Lease TODAY to take advantage of reduced rates on select 2 bedroom homes! Limited time offer.</t>
  </si>
  <si>
    <t>$500 off First Month's Rent! *</t>
  </si>
  <si>
    <t>$500 off First Month's Rent! * Limited time offer on select townhomes. Apply today! *Move-in by 10/15/24. Saving applied to first full month's rent on APT CL4812, CL5092,CL4806, &amp; CA5056 only.</t>
  </si>
  <si>
    <t>$500 Off! * Apply Today! *Move in by 11/8/24. $500 off credit applied to first full month's rent.</t>
  </si>
  <si>
    <t>$500 Off &amp; Free Video Doorbell at Move-in! * OPEN HOUSE this Friday &amp; Saturday from 10-4! Come in and enjoy light bites, drinks, and tour your future home. *Move in by 11/8/24. $500 off credit applied to first month's rent.</t>
  </si>
  <si>
    <t>$500 Off! * Apply Today! *Move in by 11/8/24. $500 off credit applied to first month's rent.</t>
  </si>
  <si>
    <t>$500 Off First Month's Rent! * EXTENDED for a limited time. Apply today! *Apply by 11/22/24. Move in by 12/6/24. $500 off credit applied to first month's rent.</t>
  </si>
  <si>
    <t>$500 off First Month's Rent! * Limited time offer on Renovated Townhomes. *Apply by 4/30/25. Move in by 5/6/25. Credit applied to first full month's rent.</t>
  </si>
  <si>
    <t>$500 off First Month's Rent! * PLUS Look &amp; Lease Incentives! *Move in by 5/23/25. $500 credit applied to first month's rent. Apply within 24 hrs of touring &amp; receive an app fee credit of $25 per approved applicant credited to first month's rent.</t>
  </si>
  <si>
    <t>LIMITED TIME ONLY! Apply and move in NOW for $500 off 2nd month's rent!</t>
  </si>
  <si>
    <t>LIMITED TIME ONLY! Apply now for $750 off your 2nd month of rent!!!</t>
  </si>
  <si>
    <t>LIMITED TIME ONLY!! Apply now for $750 off your 2nd month of rent!!! Apply for free in the office now!!</t>
  </si>
  <si>
    <t>LIMITED TIME ONLY!! Apply for free in the office now!!</t>
  </si>
  <si>
    <t>LIMITED TIME ONLY!! Apply by 1/25 for $750 off your 2nd month of rent!! Apply for free in the office now!!</t>
  </si>
  <si>
    <t>LIMITED TIME ONLY!! Apply and Move-in by 2/20 for $500 off Studio Apartments!! Applies to your 2nd month of rent! Apply for free in the office now!!</t>
  </si>
  <si>
    <t>Apply and move in by 9/15 for a lower security deposit of $650!  Apply for free in the office now!! *some conditions do apply  *Applies to 13-month leases</t>
  </si>
  <si>
    <t>Apply for free in the office now!!</t>
  </si>
  <si>
    <t>Apply and move in by 12/31 for a lower security deposit of ONLY $750!  Apply for FREE in the office now!  *Some conditions do apply  *Applies to 13-month leases</t>
  </si>
  <si>
    <t>Apply and move in by 1/31 for a lower security deposit of ONLY $750!  Apply for FREE in the office now!  *Some conditions do apply  *Applies to 13-month leases</t>
  </si>
  <si>
    <t>Apply and move in by 2/15 for a lower security deposit of ONLY $750!  Apply for FREE in the office now!  *Some conditions do apply  *Applies to 13-month leases</t>
  </si>
  <si>
    <t>NEW OFFER! Choose your security deposit option: Pay in full for a $30 monthly rent concession or opt for no deposit with an adjusted rental ratecall us today to learn more!</t>
  </si>
  <si>
    <t>NEW OFFER! Qualified applicants can now enjoy a no-security deposit optioncall us today to learn more!</t>
  </si>
  <si>
    <t>NEW OFFER! Qualified applicants can now enjoy a no-security deposit optioncall us today to learn more! Apply and move in by February 28th to get $750 off your second month's rent! Apply for FREE in the office now!</t>
  </si>
  <si>
    <t>NEW OFFER! Qualified applicants can now enjoy a no-security deposit option-call us today to learn more! Apply and move in by February 28th to get $750 off your second month's rent! Apply for FREE in the office now!</t>
  </si>
  <si>
    <t>NEW OFFER! Qualified applicants can now enjoy a no-security deposit option-call us today to learn more! Studios only- Apply and move in by 4/1 for a lower rent of ONLY $1045!  Apply for FREE in the office now!</t>
  </si>
  <si>
    <t>NEW OFFER! Qualified applicants can now enjoy a no-security deposit option-call us today to learn more! Studios only- Apply and move in by 4/15 for a lower rent of ONLY $1040!  Apply for FREE in the office now!</t>
  </si>
  <si>
    <t>NEW OFFER! Qualified applicants can now enjoy a no-security deposit option-call us today to learn more! Apply for FREE in the office now!</t>
  </si>
  <si>
    <t>2025-01-24</t>
  </si>
  <si>
    <t>2025-04-12</t>
  </si>
  <si>
    <t>2023-08-08</t>
  </si>
  <si>
    <t>2023-11-16</t>
  </si>
  <si>
    <t>2024-01-05</t>
  </si>
  <si>
    <t>2024-03-27</t>
  </si>
  <si>
    <t>2024-04-02</t>
  </si>
  <si>
    <t>2024-05-10</t>
  </si>
  <si>
    <t>2024-06-05</t>
  </si>
  <si>
    <t>2024-07-16</t>
  </si>
  <si>
    <t>2024-07-29</t>
  </si>
  <si>
    <t>2024-08-08</t>
  </si>
  <si>
    <t>2024-08-13</t>
  </si>
  <si>
    <t>2024-08-26</t>
  </si>
  <si>
    <t>2024-09-09</t>
  </si>
  <si>
    <t>2024-09-19</t>
  </si>
  <si>
    <t>2024-09-26</t>
  </si>
  <si>
    <t>2024-10-11</t>
  </si>
  <si>
    <t>2024-10-24</t>
  </si>
  <si>
    <t>2025-02-08</t>
  </si>
  <si>
    <t>2025-03-01</t>
  </si>
  <si>
    <t>2025-03-08</t>
  </si>
  <si>
    <t>2025-04-09</t>
  </si>
  <si>
    <t>2024-02-08</t>
  </si>
  <si>
    <t>2024-05-06</t>
  </si>
  <si>
    <t>2024-09-30</t>
  </si>
  <si>
    <t>2023-06-22</t>
  </si>
  <si>
    <t>2023-06-27</t>
  </si>
  <si>
    <t>2023-06-28</t>
  </si>
  <si>
    <t>2023-07-06</t>
  </si>
  <si>
    <t>2023-07-11</t>
  </si>
  <si>
    <t>2023-07-15</t>
  </si>
  <si>
    <t>2023-08-03</t>
  </si>
  <si>
    <t>2023-08-11</t>
  </si>
  <si>
    <t>2023-08-15</t>
  </si>
  <si>
    <t>2023-08-17</t>
  </si>
  <si>
    <t>2023-11-01</t>
  </si>
  <si>
    <t>2024-06-06</t>
  </si>
  <si>
    <t>2024-09-13</t>
  </si>
  <si>
    <t>2024-09-27</t>
  </si>
  <si>
    <t>2024-10-16</t>
  </si>
  <si>
    <t>2024-10-18</t>
  </si>
  <si>
    <t>2024-10-22</t>
  </si>
  <si>
    <t>2024-11-07</t>
  </si>
  <si>
    <t>2024-11-23</t>
  </si>
  <si>
    <t>2025-04-15</t>
  </si>
  <si>
    <t>2025-04-23</t>
  </si>
  <si>
    <t>2025-04-26</t>
  </si>
  <si>
    <t>2025-05-07</t>
  </si>
  <si>
    <t>2023-11-09</t>
  </si>
  <si>
    <t>2023-11-17</t>
  </si>
  <si>
    <t>2023-12-21</t>
  </si>
  <si>
    <t>2024-01-03</t>
  </si>
  <si>
    <t>2024-01-12</t>
  </si>
  <si>
    <t>2024-02-01</t>
  </si>
  <si>
    <t>2024-03-12</t>
  </si>
  <si>
    <t>2024-08-16</t>
  </si>
  <si>
    <t>2024-09-18</t>
  </si>
  <si>
    <t>2024-12-05</t>
  </si>
  <si>
    <t>2025-01-07</t>
  </si>
  <si>
    <t>2025-01-21</t>
  </si>
  <si>
    <t>2025-02-19</t>
  </si>
  <si>
    <t>2025-02-20</t>
  </si>
  <si>
    <t>2025-02-21</t>
  </si>
  <si>
    <t>2025-02-28</t>
  </si>
  <si>
    <t>2025-03-27</t>
  </si>
  <si>
    <t>2025-02-22</t>
  </si>
  <si>
    <t>2023-09-01</t>
  </si>
  <si>
    <t>2024-01-01</t>
  </si>
  <si>
    <t>2024-02-15</t>
  </si>
  <si>
    <t>2024-04-01</t>
  </si>
  <si>
    <t>2024-04-16</t>
  </si>
  <si>
    <t>2024-06-02</t>
  </si>
  <si>
    <t>2024-06-29</t>
  </si>
  <si>
    <t>2024-07-27</t>
  </si>
  <si>
    <t>2024-08-03</t>
  </si>
  <si>
    <t>2024-08-12</t>
  </si>
  <si>
    <t>2024-08-25</t>
  </si>
  <si>
    <t>2024-09-08</t>
  </si>
  <si>
    <t>2024-09-16</t>
  </si>
  <si>
    <t>2024-09-25</t>
  </si>
  <si>
    <t>2024-10-23</t>
  </si>
  <si>
    <t>2024-11-03</t>
  </si>
  <si>
    <t>2025-03-05</t>
  </si>
  <si>
    <t>2025-04-01</t>
  </si>
  <si>
    <t>2024-09-29</t>
  </si>
  <si>
    <t>2023-06-26</t>
  </si>
  <si>
    <t>2023-07-03</t>
  </si>
  <si>
    <t>2023-07-10</t>
  </si>
  <si>
    <t>2023-07-14</t>
  </si>
  <si>
    <t>2023-07-24</t>
  </si>
  <si>
    <t>2023-08-07</t>
  </si>
  <si>
    <t>2023-08-14</t>
  </si>
  <si>
    <t>2023-08-16</t>
  </si>
  <si>
    <t>2024-05-31</t>
  </si>
  <si>
    <t>2024-06-20</t>
  </si>
  <si>
    <t>2024-10-15</t>
  </si>
  <si>
    <t>2024-10-17</t>
  </si>
  <si>
    <t>2024-10-21</t>
  </si>
  <si>
    <t>2024-11-06</t>
  </si>
  <si>
    <t>2024-11-21</t>
  </si>
  <si>
    <t>2025-04-14</t>
  </si>
  <si>
    <t>2025-04-22</t>
  </si>
  <si>
    <t>2025-04-25</t>
  </si>
  <si>
    <t>2025-04-29</t>
  </si>
  <si>
    <t>2023-12-20</t>
  </si>
  <si>
    <t>2024-01-02</t>
  </si>
  <si>
    <t>2024-01-11</t>
  </si>
  <si>
    <t>2024-01-31</t>
  </si>
  <si>
    <t>2024-03-11</t>
  </si>
  <si>
    <t>2024-08-15</t>
  </si>
  <si>
    <t>2024-09-17</t>
  </si>
  <si>
    <t>2024-12-04</t>
  </si>
  <si>
    <t>2025-01-06</t>
  </si>
  <si>
    <t>2025-01-20</t>
  </si>
  <si>
    <t>2025-02-18</t>
  </si>
  <si>
    <t>2025-02-27</t>
  </si>
  <si>
    <t>2025-03-26</t>
  </si>
  <si>
    <t>2025-04-08</t>
  </si>
  <si>
    <t>2023-08-31</t>
  </si>
  <si>
    <t>2023-12-31</t>
  </si>
  <si>
    <t>2024-02-14</t>
  </si>
  <si>
    <t>2024-04-30</t>
  </si>
  <si>
    <t>2024-06-01</t>
  </si>
  <si>
    <t>2024-09-20</t>
  </si>
  <si>
    <t>2024-10-04</t>
  </si>
  <si>
    <t>2025-03-31</t>
  </si>
  <si>
    <t>2025-04-30</t>
  </si>
  <si>
    <t>2023-07-31</t>
  </si>
  <si>
    <t>2023-07-21</t>
  </si>
  <si>
    <t>2023-08-18</t>
  </si>
  <si>
    <t>2024-11-08</t>
  </si>
  <si>
    <t>2024-11-22</t>
  </si>
  <si>
    <t>2025-05-23</t>
  </si>
  <si>
    <t>2024-01-25</t>
  </si>
  <si>
    <t>2024-02-20</t>
  </si>
  <si>
    <t>2024-09-15</t>
  </si>
  <si>
    <t>2024-12-31</t>
  </si>
  <si>
    <t>2025-01-31</t>
  </si>
  <si>
    <t>2025-02-15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</si>
</sst>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11">
  <autoFilter ref="B3:AN11"/>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724">
  <autoFilter ref="B3:T724"/>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0.48580614213020573</v>
      </c>
      <c r="G4" s="623">
        <v>1964</v>
      </c>
      <c r="H4" s="623">
        <v>353</v>
      </c>
      <c r="I4" s="623">
        <v>3</v>
      </c>
      <c r="J4" s="624">
        <v>546.6666666666666</v>
      </c>
      <c r="K4" s="620">
        <v>1</v>
      </c>
      <c r="L4" s="620">
        <v>0</v>
      </c>
      <c r="M4" s="625"/>
      <c r="N4" s="626"/>
      <c r="O4" s="627">
        <v>1029</v>
      </c>
      <c r="P4" s="628">
        <v>1.854054054054054</v>
      </c>
      <c r="Q4" s="627">
        <v>1259</v>
      </c>
      <c r="R4" s="628">
        <v>1.8651851851851853</v>
      </c>
      <c r="S4" s="627"/>
      <c r="T4" s="628"/>
      <c r="U4" s="627"/>
      <c r="V4" s="628"/>
      <c r="W4" s="627"/>
      <c r="X4" s="628"/>
      <c r="Y4" s="627">
        <v>1144</v>
      </c>
      <c r="Z4" s="628">
        <v>1.8601626016260162</v>
      </c>
      <c r="AA4" s="627"/>
      <c r="AB4" s="626"/>
      <c r="AC4" s="627">
        <v>1029</v>
      </c>
      <c r="AD4" s="628">
        <v>1.854054054054054</v>
      </c>
      <c r="AE4" s="627">
        <v>1259</v>
      </c>
      <c r="AF4" s="628">
        <v>1.8651851851851853</v>
      </c>
      <c r="AG4" s="627"/>
      <c r="AH4" s="628"/>
      <c r="AI4" s="627"/>
      <c r="AJ4" s="628"/>
      <c r="AK4" s="627"/>
      <c r="AL4" s="628"/>
      <c r="AM4" s="627">
        <v>1144</v>
      </c>
      <c r="AN4" s="629">
        <v>1.8601626016260162</v>
      </c>
      <c r="AO4" s="625"/>
      <c r="AP4" s="626"/>
      <c r="AQ4" s="627">
        <v>1029</v>
      </c>
      <c r="AR4" s="628">
        <v>1.854054054054054</v>
      </c>
      <c r="AS4" s="627">
        <v>1259</v>
      </c>
      <c r="AT4" s="628">
        <v>1.8651851851851853</v>
      </c>
      <c r="AU4" s="627"/>
      <c r="AV4" s="628"/>
      <c r="AW4" s="627"/>
      <c r="AX4" s="628"/>
      <c r="AY4" s="627"/>
      <c r="AZ4" s="628"/>
      <c r="BA4" s="627">
        <v>1144</v>
      </c>
      <c r="BB4" s="628">
        <v>1.8601626016260162</v>
      </c>
      <c r="BC4" s="627"/>
      <c r="BD4" s="626"/>
      <c r="BE4" s="627">
        <v>1029</v>
      </c>
      <c r="BF4" s="628">
        <v>1.854054054054054</v>
      </c>
      <c r="BG4" s="627">
        <v>1259</v>
      </c>
      <c r="BH4" s="628">
        <v>1.8651851851851853</v>
      </c>
      <c r="BI4" s="627"/>
      <c r="BJ4" s="628"/>
      <c r="BK4" s="627"/>
      <c r="BL4" s="628"/>
      <c r="BM4" s="627"/>
      <c r="BN4" s="628"/>
      <c r="BO4" s="627">
        <v>1144</v>
      </c>
      <c r="BP4" s="629">
        <v>1.8601626016260162</v>
      </c>
      <c r="BQ4" s="625"/>
      <c r="BR4" s="626"/>
      <c r="BS4" s="627">
        <v>1029</v>
      </c>
      <c r="BT4" s="628">
        <v>1.854054054054054</v>
      </c>
      <c r="BU4" s="627">
        <v>1259</v>
      </c>
      <c r="BV4" s="628">
        <v>1.8651851851851853</v>
      </c>
      <c r="BW4" s="627"/>
      <c r="BX4" s="628"/>
      <c r="BY4" s="627"/>
      <c r="BZ4" s="628"/>
      <c r="CA4" s="627"/>
      <c r="CB4" s="628"/>
      <c r="CC4" s="627">
        <v>1144</v>
      </c>
      <c r="CD4" s="628">
        <v>1.8601626016260162</v>
      </c>
      <c r="CE4" s="627"/>
      <c r="CF4" s="626"/>
      <c r="CG4" s="627">
        <v>1029</v>
      </c>
      <c r="CH4" s="628">
        <v>1.854054054054054</v>
      </c>
      <c r="CI4" s="627">
        <v>1259</v>
      </c>
      <c r="CJ4" s="628">
        <v>1.8651851851851853</v>
      </c>
      <c r="CK4" s="627"/>
      <c r="CL4" s="628"/>
      <c r="CM4" s="627"/>
      <c r="CN4" s="628"/>
      <c r="CO4" s="627"/>
      <c r="CP4" s="628"/>
      <c r="CQ4" s="627">
        <v>1144</v>
      </c>
      <c r="CR4" s="629">
        <v>1.8601626016260162</v>
      </c>
      <c r="CS4" s="767"/>
    </row>
    <row r="5" spans="2:97" s="80" customFormat="true">
      <c r="B5" s="519" t="s">
        <v>1216</v>
      </c>
      <c r="C5" s="520" t="s">
        <v>1223</v>
      </c>
      <c r="D5" s="521">
        <v>0.8510711595488358</v>
      </c>
      <c r="E5" s="522">
        <v>0.708664181540931</v>
      </c>
      <c r="F5" s="523">
        <v>0.47931323773033024</v>
      </c>
      <c r="G5" s="524">
        <v>1955</v>
      </c>
      <c r="H5" s="524">
        <v>263</v>
      </c>
      <c r="I5" s="524">
        <v>3</v>
      </c>
      <c r="J5" s="525">
        <v>687.7757009345794</v>
      </c>
      <c r="K5" s="521">
        <v>0.9695817490494296</v>
      </c>
      <c r="L5" s="521">
        <v>0.03802281368821293</v>
      </c>
      <c r="M5" s="545"/>
      <c r="N5" s="526"/>
      <c r="O5" s="546">
        <v>1320</v>
      </c>
      <c r="P5" s="536">
        <v>2.228049877045899</v>
      </c>
      <c r="Q5" s="546">
        <v>1540.5</v>
      </c>
      <c r="R5" s="536">
        <v>2.09944909363751</v>
      </c>
      <c r="S5" s="546">
        <v>1959</v>
      </c>
      <c r="T5" s="536">
        <v>2.44875</v>
      </c>
      <c r="U5" s="546"/>
      <c r="V5" s="536"/>
      <c r="W5" s="546"/>
      <c r="X5" s="536"/>
      <c r="Y5" s="546">
        <v>1478.3181818181818</v>
      </c>
      <c r="Z5" s="536">
        <v>2.1856854838709676</v>
      </c>
      <c r="AA5" s="546"/>
      <c r="AB5" s="526"/>
      <c r="AC5" s="546">
        <v>1320</v>
      </c>
      <c r="AD5" s="536">
        <v>2.228049877045899</v>
      </c>
      <c r="AE5" s="546">
        <v>1540.5</v>
      </c>
      <c r="AF5" s="536">
        <v>2.09944909363751</v>
      </c>
      <c r="AG5" s="546">
        <v>1959</v>
      </c>
      <c r="AH5" s="536">
        <v>2.44875</v>
      </c>
      <c r="AI5" s="546"/>
      <c r="AJ5" s="536"/>
      <c r="AK5" s="546"/>
      <c r="AL5" s="536"/>
      <c r="AM5" s="546">
        <v>1478.3181818181818</v>
      </c>
      <c r="AN5" s="533">
        <v>2.1856854838709676</v>
      </c>
      <c r="AO5" s="545"/>
      <c r="AP5" s="526"/>
      <c r="AQ5" s="546">
        <v>1327.4615384615386</v>
      </c>
      <c r="AR5" s="536">
        <v>2.2302475340994175</v>
      </c>
      <c r="AS5" s="546">
        <v>1526.3076923076924</v>
      </c>
      <c r="AT5" s="536">
        <v>2.079681999443371</v>
      </c>
      <c r="AU5" s="546">
        <v>1959</v>
      </c>
      <c r="AV5" s="536">
        <v>2.44875</v>
      </c>
      <c r="AW5" s="546"/>
      <c r="AX5" s="536"/>
      <c r="AY5" s="546"/>
      <c r="AZ5" s="536"/>
      <c r="BA5" s="546">
        <v>1464.892857142857</v>
      </c>
      <c r="BB5" s="536">
        <v>2.1705561729375034</v>
      </c>
      <c r="BC5" s="546"/>
      <c r="BD5" s="526"/>
      <c r="BE5" s="546">
        <v>1327.4615384615386</v>
      </c>
      <c r="BF5" s="536">
        <v>2.2302475340994175</v>
      </c>
      <c r="BG5" s="546">
        <v>1526.3076923076924</v>
      </c>
      <c r="BH5" s="536">
        <v>2.079681999443371</v>
      </c>
      <c r="BI5" s="546">
        <v>1959</v>
      </c>
      <c r="BJ5" s="536">
        <v>2.44875</v>
      </c>
      <c r="BK5" s="546"/>
      <c r="BL5" s="536"/>
      <c r="BM5" s="546"/>
      <c r="BN5" s="536"/>
      <c r="BO5" s="546">
        <v>1464.892857142857</v>
      </c>
      <c r="BP5" s="533">
        <v>2.1705561729375034</v>
      </c>
      <c r="BQ5" s="545"/>
      <c r="BR5" s="526"/>
      <c r="BS5" s="546">
        <v>1318.2857142857142</v>
      </c>
      <c r="BT5" s="536">
        <v>2.224978054531165</v>
      </c>
      <c r="BU5" s="546">
        <v>1528.7058823529412</v>
      </c>
      <c r="BV5" s="536">
        <v>2.0809014831386197</v>
      </c>
      <c r="BW5" s="546">
        <v>1922.3333333333333</v>
      </c>
      <c r="BX5" s="536">
        <v>2.4029166666666666</v>
      </c>
      <c r="BY5" s="546"/>
      <c r="BZ5" s="536"/>
      <c r="CA5" s="546"/>
      <c r="CB5" s="536"/>
      <c r="CC5" s="546">
        <v>1476.7941176470588</v>
      </c>
      <c r="CD5" s="536">
        <v>2.164173958019051</v>
      </c>
      <c r="CE5" s="546"/>
      <c r="CF5" s="526"/>
      <c r="CG5" s="546">
        <v>1318.2857142857142</v>
      </c>
      <c r="CH5" s="536">
        <v>2.224978054531165</v>
      </c>
      <c r="CI5" s="546">
        <v>1528.7058823529412</v>
      </c>
      <c r="CJ5" s="536">
        <v>2.0809014831386197</v>
      </c>
      <c r="CK5" s="546">
        <v>1922.3333333333333</v>
      </c>
      <c r="CL5" s="536">
        <v>2.4029166666666666</v>
      </c>
      <c r="CM5" s="546"/>
      <c r="CN5" s="536"/>
      <c r="CO5" s="546"/>
      <c r="CP5" s="536"/>
      <c r="CQ5" s="546">
        <v>1476.7941176470588</v>
      </c>
      <c r="CR5" s="533">
        <v>2.164173958019051</v>
      </c>
      <c r="CS5" s="767"/>
    </row>
    <row r="6">
      <c r="B6" s="519" t="s">
        <v>1217</v>
      </c>
      <c r="C6" s="520" t="s">
        <v>1224</v>
      </c>
      <c r="D6" s="521">
        <v>0.8277060675816158</v>
      </c>
      <c r="E6" s="522">
        <v>0.9058274383944772</v>
      </c>
      <c r="F6" s="523">
        <v>0.6249180325637074</v>
      </c>
      <c r="G6" s="524">
        <v>1964</v>
      </c>
      <c r="H6" s="524">
        <v>335</v>
      </c>
      <c r="I6" s="524">
        <v>2</v>
      </c>
      <c r="J6" s="525">
        <v>927.2272727272727</v>
      </c>
      <c r="K6" s="521">
        <v>0.982089552238806</v>
      </c>
      <c r="L6" s="521">
        <v>0.03283582089552239</v>
      </c>
      <c r="M6" s="545">
        <v>1013.125</v>
      </c>
      <c r="N6" s="526">
        <v>1.9749025341130604</v>
      </c>
      <c r="O6" s="546"/>
      <c r="P6" s="536"/>
      <c r="Q6" s="546">
        <v>1430.4444444444443</v>
      </c>
      <c r="R6" s="536">
        <v>1.3941953649555991</v>
      </c>
      <c r="S6" s="546">
        <v>1748.75</v>
      </c>
      <c r="T6" s="536">
        <v>1.6466572504708095</v>
      </c>
      <c r="U6" s="546"/>
      <c r="V6" s="536"/>
      <c r="W6" s="546"/>
      <c r="X6" s="536"/>
      <c r="Y6" s="546">
        <v>1398.76</v>
      </c>
      <c r="Z6" s="536">
        <v>1.6015846844371164</v>
      </c>
      <c r="AA6" s="546">
        <v>1013.125</v>
      </c>
      <c r="AB6" s="526">
        <v>1.9749025341130604</v>
      </c>
      <c r="AC6" s="546"/>
      <c r="AD6" s="536"/>
      <c r="AE6" s="546">
        <v>1418.7777777777778</v>
      </c>
      <c r="AF6" s="536">
        <v>1.382824344812649</v>
      </c>
      <c r="AG6" s="546">
        <v>1715.5</v>
      </c>
      <c r="AH6" s="536">
        <v>1.6153483992467041</v>
      </c>
      <c r="AI6" s="546"/>
      <c r="AJ6" s="536"/>
      <c r="AK6" s="546"/>
      <c r="AL6" s="536"/>
      <c r="AM6" s="546">
        <v>1383.92</v>
      </c>
      <c r="AN6" s="533">
        <v>1.5845928368599431</v>
      </c>
      <c r="AO6" s="545">
        <v>1010</v>
      </c>
      <c r="AP6" s="526">
        <v>1.968810916179337</v>
      </c>
      <c r="AQ6" s="546"/>
      <c r="AR6" s="536"/>
      <c r="AS6" s="546">
        <v>1486.1904761904761</v>
      </c>
      <c r="AT6" s="536">
        <v>1.4485287292304836</v>
      </c>
      <c r="AU6" s="546">
        <v>1748.1818181818182</v>
      </c>
      <c r="AV6" s="536">
        <v>1.646122239342578</v>
      </c>
      <c r="AW6" s="546"/>
      <c r="AX6" s="536"/>
      <c r="AY6" s="546"/>
      <c r="AZ6" s="536"/>
      <c r="BA6" s="546">
        <v>1441.4285714285713</v>
      </c>
      <c r="BB6" s="536">
        <v>1.578288753323948</v>
      </c>
      <c r="BC6" s="546">
        <v>1003.3</v>
      </c>
      <c r="BD6" s="526">
        <v>1.955750487329435</v>
      </c>
      <c r="BE6" s="546"/>
      <c r="BF6" s="536"/>
      <c r="BG6" s="546">
        <v>1444.5714285714287</v>
      </c>
      <c r="BH6" s="536">
        <v>1.4079643553327765</v>
      </c>
      <c r="BI6" s="546">
        <v>1701.1818181818182</v>
      </c>
      <c r="BJ6" s="536">
        <v>1.6018661188152712</v>
      </c>
      <c r="BK6" s="546"/>
      <c r="BL6" s="536"/>
      <c r="BM6" s="546"/>
      <c r="BN6" s="536"/>
      <c r="BO6" s="546">
        <v>1406.7142857142858</v>
      </c>
      <c r="BP6" s="533">
        <v>1.5402784295323009</v>
      </c>
      <c r="BQ6" s="545">
        <v>1018.3333333333334</v>
      </c>
      <c r="BR6" s="526">
        <v>1.985055230669266</v>
      </c>
      <c r="BS6" s="546"/>
      <c r="BT6" s="536"/>
      <c r="BU6" s="546">
        <v>1521.9354838709678</v>
      </c>
      <c r="BV6" s="536">
        <v>1.483367918002892</v>
      </c>
      <c r="BW6" s="546">
        <v>1761.0625</v>
      </c>
      <c r="BX6" s="536">
        <v>1.6582509416195856</v>
      </c>
      <c r="BY6" s="546"/>
      <c r="BZ6" s="536"/>
      <c r="CA6" s="546"/>
      <c r="CB6" s="536"/>
      <c r="CC6" s="546">
        <v>1484.3559322033898</v>
      </c>
      <c r="CD6" s="536">
        <v>1.5936419550897114</v>
      </c>
      <c r="CE6" s="546">
        <v>1012.75</v>
      </c>
      <c r="CF6" s="526">
        <v>1.974171539961014</v>
      </c>
      <c r="CG6" s="546"/>
      <c r="CH6" s="536"/>
      <c r="CI6" s="546">
        <v>1493.741935483871</v>
      </c>
      <c r="CJ6" s="536">
        <v>1.4558888260076712</v>
      </c>
      <c r="CK6" s="546">
        <v>1728.75</v>
      </c>
      <c r="CL6" s="536">
        <v>1.627824858757062</v>
      </c>
      <c r="CM6" s="546"/>
      <c r="CN6" s="536"/>
      <c r="CO6" s="546"/>
      <c r="CP6" s="536"/>
      <c r="CQ6" s="546">
        <v>1459.6440677966102</v>
      </c>
      <c r="CR6" s="533">
        <v>1.5671106743822105</v>
      </c>
    </row>
    <row r="7">
      <c r="B7" s="519" t="s">
        <v>1218</v>
      </c>
      <c r="C7" s="520" t="s">
        <v>1225</v>
      </c>
      <c r="D7" s="521">
        <v>0.8013650524740858</v>
      </c>
      <c r="E7" s="522">
        <v>0.8650721325938667</v>
      </c>
      <c r="F7" s="523">
        <v>0.4532575736672673</v>
      </c>
      <c r="G7" s="524">
        <v>1976</v>
      </c>
      <c r="H7" s="524">
        <v>216</v>
      </c>
      <c r="I7" s="524">
        <v>3</v>
      </c>
      <c r="J7" s="525">
        <v>593.5633802816901</v>
      </c>
      <c r="K7" s="521">
        <v>0.9953703703703703</v>
      </c>
      <c r="L7" s="521">
        <v>0.041666666666666664</v>
      </c>
      <c r="M7" s="545">
        <v>1134</v>
      </c>
      <c r="N7" s="526">
        <v>3.268011527377522</v>
      </c>
      <c r="O7" s="546">
        <v>1279.75</v>
      </c>
      <c r="P7" s="536">
        <v>2.063222971970933</v>
      </c>
      <c r="Q7" s="546">
        <v>1434</v>
      </c>
      <c r="R7" s="536">
        <v>1.9326145552560647</v>
      </c>
      <c r="S7" s="546"/>
      <c r="T7" s="536"/>
      <c r="U7" s="546"/>
      <c r="V7" s="536"/>
      <c r="W7" s="546"/>
      <c r="X7" s="536"/>
      <c r="Y7" s="546">
        <v>1296.45</v>
      </c>
      <c r="Z7" s="536">
        <v>2.1256763403836696</v>
      </c>
      <c r="AA7" s="546">
        <v>1134</v>
      </c>
      <c r="AB7" s="526">
        <v>3.268011527377522</v>
      </c>
      <c r="AC7" s="546">
        <v>1279.75</v>
      </c>
      <c r="AD7" s="536">
        <v>2.063222971970933</v>
      </c>
      <c r="AE7" s="546">
        <v>1434</v>
      </c>
      <c r="AF7" s="536">
        <v>1.9326145552560647</v>
      </c>
      <c r="AG7" s="546"/>
      <c r="AH7" s="536"/>
      <c r="AI7" s="546"/>
      <c r="AJ7" s="536"/>
      <c r="AK7" s="546"/>
      <c r="AL7" s="536"/>
      <c r="AM7" s="546">
        <v>1296.45</v>
      </c>
      <c r="AN7" s="533">
        <v>2.1256763403836696</v>
      </c>
      <c r="AO7" s="545">
        <v>1134</v>
      </c>
      <c r="AP7" s="526">
        <v>3.268011527377522</v>
      </c>
      <c r="AQ7" s="546">
        <v>1284.1538461538462</v>
      </c>
      <c r="AR7" s="536">
        <v>2.05060179930184</v>
      </c>
      <c r="AS7" s="546">
        <v>1434.8333333333333</v>
      </c>
      <c r="AT7" s="536">
        <v>1.933737646001797</v>
      </c>
      <c r="AU7" s="546"/>
      <c r="AV7" s="536"/>
      <c r="AW7" s="546"/>
      <c r="AX7" s="536"/>
      <c r="AY7" s="546"/>
      <c r="AZ7" s="536"/>
      <c r="BA7" s="546">
        <v>1304.7727272727273</v>
      </c>
      <c r="BB7" s="536">
        <v>2.1038551744356493</v>
      </c>
      <c r="BC7" s="546">
        <v>1134</v>
      </c>
      <c r="BD7" s="526">
        <v>3.268011527377522</v>
      </c>
      <c r="BE7" s="546">
        <v>1284.1538461538462</v>
      </c>
      <c r="BF7" s="536">
        <v>2.05060179930184</v>
      </c>
      <c r="BG7" s="546">
        <v>1434.8333333333333</v>
      </c>
      <c r="BH7" s="536">
        <v>1.933737646001797</v>
      </c>
      <c r="BI7" s="546"/>
      <c r="BJ7" s="536"/>
      <c r="BK7" s="546"/>
      <c r="BL7" s="536"/>
      <c r="BM7" s="546"/>
      <c r="BN7" s="536"/>
      <c r="BO7" s="546">
        <v>1304.7727272727273</v>
      </c>
      <c r="BP7" s="533">
        <v>2.1038551744356493</v>
      </c>
      <c r="BQ7" s="545">
        <v>1129</v>
      </c>
      <c r="BR7" s="526">
        <v>3.2536023054755043</v>
      </c>
      <c r="BS7" s="546">
        <v>1289.4</v>
      </c>
      <c r="BT7" s="536">
        <v>2.0457747849621835</v>
      </c>
      <c r="BU7" s="546">
        <v>1439</v>
      </c>
      <c r="BV7" s="536">
        <v>1.9393530997304584</v>
      </c>
      <c r="BW7" s="546"/>
      <c r="BX7" s="536"/>
      <c r="BY7" s="546"/>
      <c r="BZ7" s="536"/>
      <c r="CA7" s="546"/>
      <c r="CB7" s="536"/>
      <c r="CC7" s="546">
        <v>1298.4814814814815</v>
      </c>
      <c r="CD7" s="536">
        <v>2.1381350246996402</v>
      </c>
      <c r="CE7" s="546">
        <v>1129</v>
      </c>
      <c r="CF7" s="526">
        <v>3.2536023054755043</v>
      </c>
      <c r="CG7" s="546">
        <v>1289.4</v>
      </c>
      <c r="CH7" s="536">
        <v>2.0457747849621835</v>
      </c>
      <c r="CI7" s="546">
        <v>1439</v>
      </c>
      <c r="CJ7" s="536">
        <v>1.9393530997304584</v>
      </c>
      <c r="CK7" s="546"/>
      <c r="CL7" s="536"/>
      <c r="CM7" s="546"/>
      <c r="CN7" s="536"/>
      <c r="CO7" s="546"/>
      <c r="CP7" s="536"/>
      <c r="CQ7" s="546">
        <v>1298.4814814814815</v>
      </c>
      <c r="CR7" s="533">
        <v>2.1381350246996402</v>
      </c>
    </row>
    <row r="8">
      <c r="B8" s="519" t="s">
        <v>1219</v>
      </c>
      <c r="C8" s="520" t="s">
        <v>1226</v>
      </c>
      <c r="D8" s="521">
        <v>0.8122445872062836</v>
      </c>
      <c r="E8" s="522">
        <v>0.9765860189630632</v>
      </c>
      <c r="F8" s="523">
        <v>0.5661607188380432</v>
      </c>
      <c r="G8" s="524">
        <v>1962</v>
      </c>
      <c r="H8" s="524">
        <v>322</v>
      </c>
      <c r="I8" s="524">
        <v>2</v>
      </c>
      <c r="J8" s="525">
        <v>907.1844660194175</v>
      </c>
      <c r="K8" s="521">
        <v>0.906832298136646</v>
      </c>
      <c r="L8" s="521">
        <v>0.13043478260869565</v>
      </c>
      <c r="M8" s="545"/>
      <c r="N8" s="526"/>
      <c r="O8" s="546">
        <v>1282.7777777777778</v>
      </c>
      <c r="P8" s="536">
        <v>1.822127525252525</v>
      </c>
      <c r="Q8" s="546">
        <v>1327.4193548387098</v>
      </c>
      <c r="R8" s="536">
        <v>1.481494815668203</v>
      </c>
      <c r="S8" s="546">
        <v>1577.1875</v>
      </c>
      <c r="T8" s="536">
        <v>1.4496208639705883</v>
      </c>
      <c r="U8" s="546"/>
      <c r="V8" s="536"/>
      <c r="W8" s="546"/>
      <c r="X8" s="536"/>
      <c r="Y8" s="546">
        <v>1391.607142857143</v>
      </c>
      <c r="Z8" s="536">
        <v>1.5126164596273293</v>
      </c>
      <c r="AA8" s="546"/>
      <c r="AB8" s="526"/>
      <c r="AC8" s="546">
        <v>1259.111111111111</v>
      </c>
      <c r="AD8" s="536">
        <v>1.7885101010101014</v>
      </c>
      <c r="AE8" s="546">
        <v>1298.967741935484</v>
      </c>
      <c r="AF8" s="536">
        <v>1.4497407834101383</v>
      </c>
      <c r="AG8" s="546">
        <v>1558.8125</v>
      </c>
      <c r="AH8" s="536">
        <v>1.4327320772058825</v>
      </c>
      <c r="AI8" s="546"/>
      <c r="AJ8" s="536"/>
      <c r="AK8" s="546"/>
      <c r="AL8" s="536"/>
      <c r="AM8" s="546">
        <v>1366.8035714285713</v>
      </c>
      <c r="AN8" s="533">
        <v>1.485656055900621</v>
      </c>
      <c r="AO8" s="545"/>
      <c r="AP8" s="526"/>
      <c r="AQ8" s="546">
        <v>1282.7777777777778</v>
      </c>
      <c r="AR8" s="536">
        <v>1.822127525252525</v>
      </c>
      <c r="AS8" s="546">
        <v>1342.4358974358975</v>
      </c>
      <c r="AT8" s="536">
        <v>1.49825434981685</v>
      </c>
      <c r="AU8" s="546">
        <v>1589.7368421052631</v>
      </c>
      <c r="AV8" s="536">
        <v>1.461155185758514</v>
      </c>
      <c r="AW8" s="546"/>
      <c r="AX8" s="536"/>
      <c r="AY8" s="546"/>
      <c r="AZ8" s="536"/>
      <c r="BA8" s="546">
        <v>1404.55223880597</v>
      </c>
      <c r="BB8" s="536">
        <v>1.5189985795454546</v>
      </c>
      <c r="BC8" s="546"/>
      <c r="BD8" s="526"/>
      <c r="BE8" s="546">
        <v>1259.111111111111</v>
      </c>
      <c r="BF8" s="536">
        <v>1.7885101010101014</v>
      </c>
      <c r="BG8" s="546">
        <v>1319.820512820513</v>
      </c>
      <c r="BH8" s="536">
        <v>1.4730139652014653</v>
      </c>
      <c r="BI8" s="546">
        <v>1574.2631578947369</v>
      </c>
      <c r="BJ8" s="536">
        <v>1.4469330495356036</v>
      </c>
      <c r="BK8" s="546"/>
      <c r="BL8" s="536"/>
      <c r="BM8" s="546"/>
      <c r="BN8" s="536"/>
      <c r="BO8" s="546">
        <v>1383.8208955223881</v>
      </c>
      <c r="BP8" s="533">
        <v>1.4965779958677685</v>
      </c>
      <c r="BQ8" s="545"/>
      <c r="BR8" s="526"/>
      <c r="BS8" s="546">
        <v>1280.5</v>
      </c>
      <c r="BT8" s="536">
        <v>1.8188920454545454</v>
      </c>
      <c r="BU8" s="546">
        <v>1343.0851063829787</v>
      </c>
      <c r="BV8" s="536">
        <v>1.4989789133738605</v>
      </c>
      <c r="BW8" s="546">
        <v>1591.304347826087</v>
      </c>
      <c r="BX8" s="536">
        <v>1.4625959079283888</v>
      </c>
      <c r="BY8" s="546"/>
      <c r="BZ8" s="536"/>
      <c r="CA8" s="546"/>
      <c r="CB8" s="536"/>
      <c r="CC8" s="546">
        <v>1406.625</v>
      </c>
      <c r="CD8" s="536">
        <v>1.5170675150992234</v>
      </c>
      <c r="CE8" s="546"/>
      <c r="CF8" s="526"/>
      <c r="CG8" s="546">
        <v>1259.2</v>
      </c>
      <c r="CH8" s="536">
        <v>1.788636363636364</v>
      </c>
      <c r="CI8" s="546">
        <v>1324.3191489361702</v>
      </c>
      <c r="CJ8" s="536">
        <v>1.4780347644376903</v>
      </c>
      <c r="CK8" s="546">
        <v>1578.5217391304348</v>
      </c>
      <c r="CL8" s="536">
        <v>1.4508471867007675</v>
      </c>
      <c r="CM8" s="546"/>
      <c r="CN8" s="536"/>
      <c r="CO8" s="546"/>
      <c r="CP8" s="536"/>
      <c r="CQ8" s="546">
        <v>1389.2625</v>
      </c>
      <c r="CR8" s="533">
        <v>1.4983417817083693</v>
      </c>
    </row>
    <row r="9">
      <c r="B9" s="519" t="s">
        <v>1220</v>
      </c>
      <c r="C9" s="520" t="s">
        <v>1227</v>
      </c>
      <c r="D9" s="521">
        <v>0.7374119452216523</v>
      </c>
      <c r="E9" s="522">
        <v>0.4995418953334391</v>
      </c>
      <c r="F9" s="523">
        <v>0.496874850173134</v>
      </c>
      <c r="G9" s="524">
        <v>1964</v>
      </c>
      <c r="H9" s="524">
        <v>147</v>
      </c>
      <c r="I9" s="524">
        <v>3</v>
      </c>
      <c r="J9" s="525">
        <v>780.1139240506329</v>
      </c>
      <c r="K9" s="521">
        <v>0.9387755102040817</v>
      </c>
      <c r="L9" s="521">
        <v>0.07482993197278912</v>
      </c>
      <c r="M9" s="545">
        <v>1056.6666666666667</v>
      </c>
      <c r="N9" s="526">
        <v>2.5400641025641026</v>
      </c>
      <c r="O9" s="546">
        <v>1160</v>
      </c>
      <c r="P9" s="536">
        <v>1.8333963296211617</v>
      </c>
      <c r="Q9" s="546">
        <v>1430</v>
      </c>
      <c r="R9" s="536">
        <v>1.595982142857143</v>
      </c>
      <c r="S9" s="546"/>
      <c r="T9" s="536"/>
      <c r="U9" s="546"/>
      <c r="V9" s="536"/>
      <c r="W9" s="546"/>
      <c r="X9" s="536"/>
      <c r="Y9" s="546">
        <v>1241.875</v>
      </c>
      <c r="Z9" s="536">
        <v>1.7709447415329769</v>
      </c>
      <c r="AA9" s="546">
        <v>1056.6666666666667</v>
      </c>
      <c r="AB9" s="526">
        <v>2.5400641025641026</v>
      </c>
      <c r="AC9" s="546">
        <v>1160</v>
      </c>
      <c r="AD9" s="536">
        <v>1.8333963296211617</v>
      </c>
      <c r="AE9" s="546">
        <v>1430</v>
      </c>
      <c r="AF9" s="536">
        <v>1.595982142857143</v>
      </c>
      <c r="AG9" s="546"/>
      <c r="AH9" s="536"/>
      <c r="AI9" s="546"/>
      <c r="AJ9" s="536"/>
      <c r="AK9" s="546"/>
      <c r="AL9" s="536"/>
      <c r="AM9" s="546">
        <v>1241.875</v>
      </c>
      <c r="AN9" s="533">
        <v>1.7709447415329769</v>
      </c>
      <c r="AO9" s="545">
        <v>1073.75</v>
      </c>
      <c r="AP9" s="526">
        <v>2.5811298076923075</v>
      </c>
      <c r="AQ9" s="546">
        <v>1183.125</v>
      </c>
      <c r="AR9" s="536">
        <v>1.8298929293581139</v>
      </c>
      <c r="AS9" s="546">
        <v>1438.125</v>
      </c>
      <c r="AT9" s="536">
        <v>1.6050502232142858</v>
      </c>
      <c r="AU9" s="546"/>
      <c r="AV9" s="536"/>
      <c r="AW9" s="546"/>
      <c r="AX9" s="536"/>
      <c r="AY9" s="546"/>
      <c r="AZ9" s="536"/>
      <c r="BA9" s="546">
        <v>1263.25</v>
      </c>
      <c r="BB9" s="536">
        <v>1.782614831016722</v>
      </c>
      <c r="BC9" s="546">
        <v>1073.75</v>
      </c>
      <c r="BD9" s="526">
        <v>2.5811298076923075</v>
      </c>
      <c r="BE9" s="546">
        <v>1183.125</v>
      </c>
      <c r="BF9" s="536">
        <v>1.8298929293581139</v>
      </c>
      <c r="BG9" s="546">
        <v>1438.125</v>
      </c>
      <c r="BH9" s="536">
        <v>1.6050502232142858</v>
      </c>
      <c r="BI9" s="546"/>
      <c r="BJ9" s="536"/>
      <c r="BK9" s="546"/>
      <c r="BL9" s="536"/>
      <c r="BM9" s="546"/>
      <c r="BN9" s="536"/>
      <c r="BO9" s="546">
        <v>1263.25</v>
      </c>
      <c r="BP9" s="533">
        <v>1.782614831016722</v>
      </c>
      <c r="BQ9" s="545">
        <v>1073.75</v>
      </c>
      <c r="BR9" s="526">
        <v>2.5811298076923075</v>
      </c>
      <c r="BS9" s="546">
        <v>1183.125</v>
      </c>
      <c r="BT9" s="536">
        <v>1.8298929293581139</v>
      </c>
      <c r="BU9" s="546">
        <v>1461.25</v>
      </c>
      <c r="BV9" s="536">
        <v>1.630859375</v>
      </c>
      <c r="BW9" s="546"/>
      <c r="BX9" s="536"/>
      <c r="BY9" s="546"/>
      <c r="BZ9" s="536"/>
      <c r="CA9" s="546"/>
      <c r="CB9" s="536"/>
      <c r="CC9" s="546">
        <v>1303.9583333333333</v>
      </c>
      <c r="CD9" s="536">
        <v>1.762403559159768</v>
      </c>
      <c r="CE9" s="546">
        <v>1073.75</v>
      </c>
      <c r="CF9" s="526">
        <v>2.5811298076923075</v>
      </c>
      <c r="CG9" s="546">
        <v>1183.125</v>
      </c>
      <c r="CH9" s="536">
        <v>1.8298929293581139</v>
      </c>
      <c r="CI9" s="546">
        <v>1458.75</v>
      </c>
      <c r="CJ9" s="536">
        <v>1.6280691964285714</v>
      </c>
      <c r="CK9" s="546"/>
      <c r="CL9" s="536"/>
      <c r="CM9" s="546"/>
      <c r="CN9" s="536"/>
      <c r="CO9" s="546"/>
      <c r="CP9" s="536"/>
      <c r="CQ9" s="546">
        <v>1302.7083333333333</v>
      </c>
      <c r="CR9" s="533">
        <v>1.7607140845863603</v>
      </c>
    </row>
    <row r="10">
      <c r="B10" s="519" t="s">
        <v>1221</v>
      </c>
      <c r="C10" s="520" t="s">
        <v>1228</v>
      </c>
      <c r="D10" s="521">
        <v>0.6419872352459057</v>
      </c>
      <c r="E10" s="522">
        <v>0.6956088227420667</v>
      </c>
      <c r="F10" s="523">
        <v>0.5194121183771075</v>
      </c>
      <c r="G10" s="524">
        <v>1960</v>
      </c>
      <c r="H10" s="524">
        <v>84</v>
      </c>
      <c r="I10" s="524">
        <v>3</v>
      </c>
      <c r="J10" s="525">
        <v>523.4285714285714</v>
      </c>
      <c r="K10" s="521">
        <v>0.9761904761904762</v>
      </c>
      <c r="L10" s="521">
        <v>0.023809523809523808</v>
      </c>
      <c r="M10" s="545">
        <v>900</v>
      </c>
      <c r="N10" s="526"/>
      <c r="O10" s="546">
        <v>1062.5</v>
      </c>
      <c r="P10" s="536"/>
      <c r="Q10" s="546"/>
      <c r="R10" s="536"/>
      <c r="S10" s="546"/>
      <c r="T10" s="536"/>
      <c r="U10" s="546"/>
      <c r="V10" s="536"/>
      <c r="W10" s="546"/>
      <c r="X10" s="536"/>
      <c r="Y10" s="546">
        <v>992.8571428571429</v>
      </c>
      <c r="Z10" s="536"/>
      <c r="AA10" s="546">
        <v>900</v>
      </c>
      <c r="AB10" s="526"/>
      <c r="AC10" s="546">
        <v>1062.5</v>
      </c>
      <c r="AD10" s="536"/>
      <c r="AE10" s="546"/>
      <c r="AF10" s="536"/>
      <c r="AG10" s="546"/>
      <c r="AH10" s="536"/>
      <c r="AI10" s="546"/>
      <c r="AJ10" s="536"/>
      <c r="AK10" s="546"/>
      <c r="AL10" s="536"/>
      <c r="AM10" s="546">
        <v>992.8571428571429</v>
      </c>
      <c r="AN10" s="533"/>
      <c r="AO10" s="545">
        <v>900</v>
      </c>
      <c r="AP10" s="526"/>
      <c r="AQ10" s="546">
        <v>1062.5</v>
      </c>
      <c r="AR10" s="536"/>
      <c r="AS10" s="546"/>
      <c r="AT10" s="536"/>
      <c r="AU10" s="546"/>
      <c r="AV10" s="536"/>
      <c r="AW10" s="546"/>
      <c r="AX10" s="536"/>
      <c r="AY10" s="546"/>
      <c r="AZ10" s="536"/>
      <c r="BA10" s="546">
        <v>992.8571428571429</v>
      </c>
      <c r="BB10" s="536"/>
      <c r="BC10" s="546">
        <v>900</v>
      </c>
      <c r="BD10" s="526"/>
      <c r="BE10" s="546">
        <v>1062.5</v>
      </c>
      <c r="BF10" s="536"/>
      <c r="BG10" s="546"/>
      <c r="BH10" s="536"/>
      <c r="BI10" s="546"/>
      <c r="BJ10" s="536"/>
      <c r="BK10" s="546"/>
      <c r="BL10" s="536"/>
      <c r="BM10" s="546"/>
      <c r="BN10" s="536"/>
      <c r="BO10" s="546">
        <v>992.8571428571429</v>
      </c>
      <c r="BP10" s="533"/>
      <c r="BQ10" s="545">
        <v>900</v>
      </c>
      <c r="BR10" s="526"/>
      <c r="BS10" s="546">
        <v>1062.5</v>
      </c>
      <c r="BT10" s="536"/>
      <c r="BU10" s="546"/>
      <c r="BV10" s="536"/>
      <c r="BW10" s="546"/>
      <c r="BX10" s="536"/>
      <c r="BY10" s="546"/>
      <c r="BZ10" s="536"/>
      <c r="CA10" s="546"/>
      <c r="CB10" s="536"/>
      <c r="CC10" s="546">
        <v>992.8571428571429</v>
      </c>
      <c r="CD10" s="536"/>
      <c r="CE10" s="546">
        <v>900</v>
      </c>
      <c r="CF10" s="526"/>
      <c r="CG10" s="546">
        <v>1062.5</v>
      </c>
      <c r="CH10" s="536"/>
      <c r="CI10" s="546"/>
      <c r="CJ10" s="536"/>
      <c r="CK10" s="546"/>
      <c r="CL10" s="536"/>
      <c r="CM10" s="546"/>
      <c r="CN10" s="536"/>
      <c r="CO10" s="546"/>
      <c r="CP10" s="536"/>
      <c r="CQ10" s="546">
        <v>992.8571428571429</v>
      </c>
      <c r="CR10" s="533"/>
    </row>
    <row r="11">
      <c r="B11" s="519" t="s">
        <v>1222</v>
      </c>
      <c r="C11" s="520" t="s">
        <v>1229</v>
      </c>
      <c r="D11" s="521">
        <v>0.584955422725416</v>
      </c>
      <c r="E11" s="522">
        <v>0.5142976285004364</v>
      </c>
      <c r="F11" s="523">
        <v>0.326328623858658</v>
      </c>
      <c r="G11" s="524">
        <v>1961</v>
      </c>
      <c r="H11" s="524">
        <v>80</v>
      </c>
      <c r="I11" s="524">
        <v>5</v>
      </c>
      <c r="J11" s="525">
        <v>600</v>
      </c>
      <c r="K11" s="521">
        <v>0.9875</v>
      </c>
      <c r="L11" s="521">
        <v>0.0125</v>
      </c>
      <c r="M11" s="545"/>
      <c r="N11" s="526"/>
      <c r="O11" s="546">
        <v>1000</v>
      </c>
      <c r="P11" s="536">
        <v>1.5384615384615385</v>
      </c>
      <c r="Q11" s="546"/>
      <c r="R11" s="536"/>
      <c r="S11" s="546"/>
      <c r="T11" s="536"/>
      <c r="U11" s="546"/>
      <c r="V11" s="536"/>
      <c r="W11" s="546"/>
      <c r="X11" s="536"/>
      <c r="Y11" s="546">
        <v>1000</v>
      </c>
      <c r="Z11" s="536">
        <v>1.5384615384615385</v>
      </c>
      <c r="AA11" s="546"/>
      <c r="AB11" s="526"/>
      <c r="AC11" s="546">
        <v>1000</v>
      </c>
      <c r="AD11" s="536">
        <v>1.5384615384615385</v>
      </c>
      <c r="AE11" s="546"/>
      <c r="AF11" s="536"/>
      <c r="AG11" s="546"/>
      <c r="AH11" s="536"/>
      <c r="AI11" s="546"/>
      <c r="AJ11" s="536"/>
      <c r="AK11" s="546"/>
      <c r="AL11" s="536"/>
      <c r="AM11" s="546">
        <v>1000</v>
      </c>
      <c r="AN11" s="533">
        <v>1.5384615384615385</v>
      </c>
      <c r="AO11" s="545"/>
      <c r="AP11" s="526"/>
      <c r="AQ11" s="546">
        <v>1000</v>
      </c>
      <c r="AR11" s="536">
        <v>1.5384615384615385</v>
      </c>
      <c r="AS11" s="546"/>
      <c r="AT11" s="536"/>
      <c r="AU11" s="546"/>
      <c r="AV11" s="536"/>
      <c r="AW11" s="546"/>
      <c r="AX11" s="536"/>
      <c r="AY11" s="546"/>
      <c r="AZ11" s="536"/>
      <c r="BA11" s="546">
        <v>1000</v>
      </c>
      <c r="BB11" s="536">
        <v>1.5384615384615385</v>
      </c>
      <c r="BC11" s="546"/>
      <c r="BD11" s="526"/>
      <c r="BE11" s="546">
        <v>1000</v>
      </c>
      <c r="BF11" s="536">
        <v>1.5384615384615385</v>
      </c>
      <c r="BG11" s="546"/>
      <c r="BH11" s="536"/>
      <c r="BI11" s="546"/>
      <c r="BJ11" s="536"/>
      <c r="BK11" s="546"/>
      <c r="BL11" s="536"/>
      <c r="BM11" s="546"/>
      <c r="BN11" s="536"/>
      <c r="BO11" s="546">
        <v>1000</v>
      </c>
      <c r="BP11" s="533">
        <v>1.5384615384615385</v>
      </c>
      <c r="BQ11" s="545"/>
      <c r="BR11" s="526"/>
      <c r="BS11" s="546">
        <v>1000</v>
      </c>
      <c r="BT11" s="536">
        <v>1.5384615384615385</v>
      </c>
      <c r="BU11" s="546"/>
      <c r="BV11" s="536"/>
      <c r="BW11" s="546"/>
      <c r="BX11" s="536"/>
      <c r="BY11" s="546"/>
      <c r="BZ11" s="536"/>
      <c r="CA11" s="546"/>
      <c r="CB11" s="536"/>
      <c r="CC11" s="546">
        <v>1000</v>
      </c>
      <c r="CD11" s="536">
        <v>1.5384615384615385</v>
      </c>
      <c r="CE11" s="546"/>
      <c r="CF11" s="526"/>
      <c r="CG11" s="546">
        <v>1000</v>
      </c>
      <c r="CH11" s="536">
        <v>1.5384615384615385</v>
      </c>
      <c r="CI11" s="546"/>
      <c r="CJ11" s="536"/>
      <c r="CK11" s="546"/>
      <c r="CL11" s="536"/>
      <c r="CM11" s="546"/>
      <c r="CN11" s="536"/>
      <c r="CO11" s="546"/>
      <c r="CP11" s="536"/>
      <c r="CQ11" s="546">
        <v>1000</v>
      </c>
      <c r="CR11" s="533">
        <v>1.5384615384615385</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6" t="s">
        <v>1220</v>
      </c>
      <c r="L2" s="596" t="s">
        <v>1221</v>
      </c>
      <c r="M2" s="596" t="s">
        <v>1222</v>
      </c>
      <c r="N2" s="599"/>
      <c r="O2" s="599"/>
      <c r="P2" s="600"/>
      <c r="Q2" s="591"/>
      <c r="R2" s="589"/>
      <c r="S2" s="589"/>
      <c r="T2" s="589"/>
      <c r="U2" s="589"/>
      <c r="V2" s="589"/>
      <c r="W2" s="589"/>
      <c r="X2" s="589"/>
      <c r="Y2" s="589"/>
      <c r="Z2" s="590"/>
    </row>
    <row r="3" spans="2:26" s="392" customFormat="true" ht="25" customHeight="true">
      <c r="B3" s="485" t="s">
        <v>773</v>
      </c>
      <c r="C3" s="486" t="s">
        <v>1230</v>
      </c>
      <c r="D3" s="487"/>
      <c r="E3" s="488"/>
      <c r="F3" s="489"/>
      <c r="G3" s="489" t="s">
        <v>1231</v>
      </c>
      <c r="H3" s="489" t="s">
        <v>1232</v>
      </c>
      <c r="I3" s="489" t="s">
        <v>1233</v>
      </c>
      <c r="J3" s="489" t="s">
        <v>1234</v>
      </c>
      <c r="K3" s="489" t="s">
        <v>1235</v>
      </c>
      <c r="L3" s="489" t="s">
        <v>1236</v>
      </c>
      <c r="M3" s="489"/>
      <c r="N3" s="492"/>
      <c r="O3" s="492"/>
      <c r="P3" s="492"/>
      <c r="Q3" s="492"/>
      <c r="R3" s="492"/>
      <c r="S3" s="492"/>
      <c r="T3" s="492"/>
      <c r="U3" s="492"/>
      <c r="V3" s="492"/>
      <c r="W3" s="492"/>
      <c r="X3" s="492"/>
      <c r="Y3" s="492"/>
      <c r="Z3" s="492"/>
    </row>
    <row r="4" spans="2:26" s="392" customFormat="true" ht="25" customHeight="true">
      <c r="B4" s="485" t="s">
        <v>774</v>
      </c>
      <c r="C4" s="496"/>
      <c r="D4" s="493"/>
      <c r="E4" s="494"/>
      <c r="F4" s="495"/>
      <c r="G4" s="496" t="s">
        <v>1237</v>
      </c>
      <c r="H4" s="496" t="s">
        <v>1238</v>
      </c>
      <c r="I4" s="496" t="s">
        <v>1239</v>
      </c>
      <c r="J4" s="496" t="s">
        <v>1240</v>
      </c>
      <c r="K4" s="496"/>
      <c r="L4" s="496" t="s">
        <v>1241</v>
      </c>
      <c r="M4" s="496"/>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0.708664181540931</v>
      </c>
      <c r="H5" s="393">
        <v>0.9058274383944772</v>
      </c>
      <c r="I5" s="393">
        <v>0.8650721325938667</v>
      </c>
      <c r="J5" s="393">
        <v>0.9765860189630632</v>
      </c>
      <c r="K5" s="393">
        <v>0.4995418953334391</v>
      </c>
      <c r="L5" s="393">
        <v>0.6956088227420667</v>
      </c>
      <c r="M5" s="393">
        <v>0.5142976285004364</v>
      </c>
      <c r="N5" s="30"/>
      <c r="O5" s="30"/>
      <c r="P5" s="30"/>
      <c r="Q5" s="30"/>
      <c r="R5" s="30"/>
      <c r="S5" s="30"/>
      <c r="T5" s="30"/>
      <c r="U5" s="30"/>
      <c r="V5" s="30"/>
      <c r="W5" s="30"/>
      <c r="X5" s="30"/>
      <c r="Y5" s="30"/>
      <c r="Z5" s="30"/>
    </row>
    <row r="6" spans="2:26" s="314" customFormat="true">
      <c r="B6" s="500" t="s">
        <v>12</v>
      </c>
      <c r="C6" s="358" t="s">
        <v>14</v>
      </c>
      <c r="D6" s="381"/>
      <c r="E6" s="499" t="s">
        <v>14</v>
      </c>
      <c r="F6" s="499"/>
      <c r="G6" s="394">
        <v>0.8510711595488358</v>
      </c>
      <c r="H6" s="394">
        <v>0.8277060675816158</v>
      </c>
      <c r="I6" s="394">
        <v>0.8013650524740858</v>
      </c>
      <c r="J6" s="394">
        <v>0.8122445872062836</v>
      </c>
      <c r="K6" s="394">
        <v>0.7374119452216523</v>
      </c>
      <c r="L6" s="394">
        <v>0.6419872352459057</v>
      </c>
      <c r="M6" s="394">
        <v>0.584955422725416</v>
      </c>
      <c r="N6" s="2"/>
      <c r="O6" s="2"/>
      <c r="P6" s="2"/>
      <c r="Q6" s="2"/>
      <c r="R6" s="2"/>
      <c r="S6" s="2"/>
      <c r="T6" s="2"/>
      <c r="U6" s="2"/>
      <c r="V6" s="2"/>
      <c r="W6" s="2"/>
      <c r="X6" s="2"/>
      <c r="Y6" s="2"/>
      <c r="Z6" s="2"/>
    </row>
    <row r="7" spans="2:26">
      <c r="B7" s="412" t="s">
        <v>776</v>
      </c>
      <c r="C7" s="359">
        <v>1964</v>
      </c>
      <c r="D7" s="382"/>
      <c r="E7" s="389"/>
      <c r="F7" s="320"/>
      <c r="G7" s="395">
        <v>1955</v>
      </c>
      <c r="H7" s="395">
        <v>1964</v>
      </c>
      <c r="I7" s="395">
        <v>1976</v>
      </c>
      <c r="J7" s="395">
        <v>1962</v>
      </c>
      <c r="K7" s="395">
        <v>1964</v>
      </c>
      <c r="L7" s="395">
        <v>1960</v>
      </c>
      <c r="M7" s="395">
        <v>1961</v>
      </c>
    </row>
    <row r="8" spans="2:26" s="315" customFormat="true">
      <c r="B8" s="413" t="s">
        <v>3</v>
      </c>
      <c r="C8" s="360">
        <v>353</v>
      </c>
      <c r="D8" s="383" t="str">
        <f ca="true">IFERROR(AVERAGE(INDIRECT("G"&amp;ROW()&amp;":Z"&amp;ROW())),"")</f>
      </c>
      <c r="E8" s="389"/>
      <c r="F8" s="320"/>
      <c r="G8" s="396">
        <v>263</v>
      </c>
      <c r="H8" s="396">
        <v>335</v>
      </c>
      <c r="I8" s="396">
        <v>216</v>
      </c>
      <c r="J8" s="396">
        <v>322</v>
      </c>
      <c r="K8" s="396">
        <v>147</v>
      </c>
      <c r="L8" s="396">
        <v>84</v>
      </c>
      <c r="M8" s="396">
        <v>80</v>
      </c>
      <c r="N8" s="4"/>
      <c r="O8" s="4"/>
      <c r="P8" s="4"/>
      <c r="Q8" s="4"/>
      <c r="R8" s="4"/>
      <c r="S8" s="4"/>
      <c r="T8" s="4"/>
      <c r="U8" s="4"/>
      <c r="V8" s="4"/>
      <c r="W8" s="4"/>
      <c r="X8" s="4"/>
      <c r="Y8" s="4"/>
      <c r="Z8" s="4"/>
    </row>
    <row r="9" spans="2:26" s="316" customFormat="true">
      <c r="B9" s="414" t="s">
        <v>777</v>
      </c>
      <c r="C9" s="361">
        <v>1</v>
      </c>
      <c r="D9" s="384" t="str">
        <f ca="true">IFERROR(AVERAGE(INDIRECT("G"&amp;ROW()&amp;":Z"&amp;ROW())),"")</f>
      </c>
      <c r="E9" s="388" t="str">
        <f ca="true">IF(C9&gt;0,IFERROR((C9-D9),""),"")</f>
      </c>
      <c r="F9" s="320" t="str">
        <f ca="true">IFERROR(E9/D9,"")</f>
      </c>
      <c r="G9" s="397">
        <v>0.9695817490494296</v>
      </c>
      <c r="H9" s="397">
        <v>0.982089552238806</v>
      </c>
      <c r="I9" s="397">
        <v>0.9953703703703703</v>
      </c>
      <c r="J9" s="397">
        <v>0.906832298136646</v>
      </c>
      <c r="K9" s="397">
        <v>0.9387755102040817</v>
      </c>
      <c r="L9" s="397">
        <v>0.9761904761904762</v>
      </c>
      <c r="M9" s="397">
        <v>0.9875</v>
      </c>
      <c r="N9" s="51"/>
      <c r="O9" s="51"/>
      <c r="P9" s="51"/>
      <c r="Q9" s="51"/>
      <c r="R9" s="51"/>
      <c r="S9" s="51"/>
      <c r="T9" s="51"/>
      <c r="U9" s="51"/>
      <c r="V9" s="51"/>
      <c r="W9" s="51"/>
      <c r="X9" s="51"/>
      <c r="Y9" s="51"/>
      <c r="Z9" s="51"/>
    </row>
    <row r="10" spans="2:26" s="316" customFormat="true">
      <c r="B10" s="414" t="s">
        <v>778</v>
      </c>
      <c r="C10" s="361">
        <v>0</v>
      </c>
      <c r="D10" s="384" t="str">
        <f ca="true">IFERROR(AVERAGE(INDIRECT("G"&amp;ROW()&amp;":Z"&amp;ROW())),"")</f>
      </c>
      <c r="E10" s="388" t="str">
        <f ca="true">IF(C10&gt;0,IFERROR((C10-D10),""),"")</f>
      </c>
      <c r="F10" s="320" t="str">
        <f ca="true">IFERROR(E10/D10,"")</f>
      </c>
      <c r="G10" s="397">
        <v>0.03802281368821293</v>
      </c>
      <c r="H10" s="397">
        <v>0.03283582089552239</v>
      </c>
      <c r="I10" s="397">
        <v>0.041666666666666664</v>
      </c>
      <c r="J10" s="397">
        <v>0.13043478260869565</v>
      </c>
      <c r="K10" s="397">
        <v>0.07482993197278912</v>
      </c>
      <c r="L10" s="397">
        <v>0.023809523809523808</v>
      </c>
      <c r="M10" s="397">
        <v>0.0125</v>
      </c>
      <c r="N10" s="51"/>
      <c r="O10" s="51"/>
      <c r="P10" s="51"/>
      <c r="Q10" s="51"/>
      <c r="R10" s="51"/>
      <c r="S10" s="51"/>
      <c r="T10" s="51"/>
      <c r="U10" s="51"/>
      <c r="V10" s="51"/>
      <c r="W10" s="51"/>
      <c r="X10" s="51"/>
      <c r="Y10" s="51"/>
      <c r="Z10" s="51"/>
    </row>
    <row r="11" spans="2:26" s="51" customFormat="true">
      <c r="B11" s="414" t="s">
        <v>5</v>
      </c>
      <c r="C11" s="362">
        <v>0.48580614213020573</v>
      </c>
      <c r="D11" s="384" t="str">
        <f ca="true">IFERROR(AVERAGE(INDIRECT("G"&amp;ROW()&amp;":Z"&amp;ROW())),"")</f>
      </c>
      <c r="E11" s="388" t="str">
        <f ca="true">IF(C11&gt;0,IFERROR((C11-D11),""),"")</f>
      </c>
      <c r="F11" s="320" t="str">
        <f ca="true">IFERROR(E11/D11,"")</f>
      </c>
      <c r="G11" s="397">
        <v>0.47931323773033024</v>
      </c>
      <c r="H11" s="397">
        <v>0.6249180325637074</v>
      </c>
      <c r="I11" s="397">
        <v>0.4532575736672673</v>
      </c>
      <c r="J11" s="397">
        <v>0.5661607188380432</v>
      </c>
      <c r="K11" s="397">
        <v>0.496874850173134</v>
      </c>
      <c r="L11" s="397">
        <v>0.5194121183771075</v>
      </c>
      <c r="M11" s="397">
        <v>0.326328623858658</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1144</v>
      </c>
      <c r="D13" s="385" t="str">
        <f ca="true">IFERROR(AVERAGE(INDIRECT("G"&amp;ROW()&amp;":Z"&amp;ROW())),"")</f>
      </c>
      <c r="E13" s="377" t="str">
        <f ca="true">IF(C13&gt;0,IFERROR((C13-D13),""),"")</f>
      </c>
      <c r="F13" s="320" t="str">
        <f ca="true">IFERROR(E13/D13,"")</f>
      </c>
      <c r="G13" s="399">
        <v>1478.3181818181818</v>
      </c>
      <c r="H13" s="399">
        <v>1398.76</v>
      </c>
      <c r="I13" s="399">
        <v>1296.45</v>
      </c>
      <c r="J13" s="399">
        <v>1391.607142857143</v>
      </c>
      <c r="K13" s="399">
        <v>1241.875</v>
      </c>
      <c r="L13" s="399">
        <v>992.8571428571429</v>
      </c>
      <c r="M13" s="399">
        <v>1000</v>
      </c>
      <c r="N13" s="5"/>
      <c r="O13" s="5"/>
      <c r="P13" s="5"/>
      <c r="Q13" s="5"/>
      <c r="R13" s="5"/>
      <c r="S13" s="5"/>
      <c r="T13" s="5"/>
      <c r="U13" s="5"/>
      <c r="V13" s="5"/>
      <c r="W13" s="5"/>
      <c r="X13" s="5"/>
      <c r="Y13" s="5"/>
      <c r="Z13" s="5"/>
    </row>
    <row r="14" spans="2:26" s="139" customFormat="true">
      <c r="B14" s="416" t="s">
        <v>782</v>
      </c>
      <c r="C14" s="364">
        <v>1144</v>
      </c>
      <c r="D14" s="385" t="str">
        <f ca="true">IFERROR(AVERAGE(INDIRECT("G"&amp;ROW()&amp;":Z"&amp;ROW())),"")</f>
      </c>
      <c r="E14" s="377" t="str">
        <f ca="true">IF(C14&gt;0,IFERROR((C14-D14),""),"")</f>
      </c>
      <c r="F14" s="320" t="str">
        <f ca="true">IFERROR(E14/D14,"")</f>
      </c>
      <c r="G14" s="399">
        <v>1464.892857142857</v>
      </c>
      <c r="H14" s="399">
        <v>1441.4285714285713</v>
      </c>
      <c r="I14" s="399">
        <v>1304.7727272727273</v>
      </c>
      <c r="J14" s="399">
        <v>1404.55223880597</v>
      </c>
      <c r="K14" s="399">
        <v>1263.25</v>
      </c>
      <c r="L14" s="399">
        <v>992.8571428571429</v>
      </c>
      <c r="M14" s="399">
        <v>1000</v>
      </c>
      <c r="N14" s="5"/>
      <c r="O14" s="5"/>
      <c r="P14" s="5"/>
      <c r="Q14" s="5"/>
      <c r="R14" s="5"/>
      <c r="S14" s="5"/>
      <c r="T14" s="5"/>
      <c r="U14" s="5"/>
      <c r="V14" s="5"/>
      <c r="W14" s="5"/>
      <c r="X14" s="5"/>
      <c r="Y14" s="5"/>
      <c r="Z14" s="5"/>
    </row>
    <row r="15" spans="2:26" s="139" customFormat="true">
      <c r="B15" s="416" t="s">
        <v>783</v>
      </c>
      <c r="C15" s="364">
        <v>1144</v>
      </c>
      <c r="D15" s="385" t="str">
        <f ca="true">IFERROR(AVERAGE(INDIRECT("G"&amp;ROW()&amp;":Z"&amp;ROW())),"")</f>
      </c>
      <c r="E15" s="377" t="str">
        <f ca="true">IF(C15&gt;0,IFERROR((C15-D15),""),"")</f>
      </c>
      <c r="F15" s="320" t="str">
        <f ca="true">IFERROR(E15/D15,"")</f>
      </c>
      <c r="G15" s="399">
        <v>1476.7941176470588</v>
      </c>
      <c r="H15" s="399">
        <v>1484.3559322033898</v>
      </c>
      <c r="I15" s="399">
        <v>1298.4814814814815</v>
      </c>
      <c r="J15" s="399">
        <v>1406.625</v>
      </c>
      <c r="K15" s="399">
        <v>1303.9583333333333</v>
      </c>
      <c r="L15" s="399">
        <v>992.8571428571429</v>
      </c>
      <c r="M15" s="399">
        <v>1000</v>
      </c>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1144</v>
      </c>
      <c r="D17" s="385" t="str">
        <f ca="true">IFERROR(AVERAGE(INDIRECT("G"&amp;ROW()&amp;":Z"&amp;ROW())),"")</f>
      </c>
      <c r="E17" s="377" t="str">
        <f ca="true">IF(C17&gt;0,IFERROR((C17-D17),""),"")</f>
      </c>
      <c r="F17" s="320" t="str">
        <f ca="true">IFERROR(E17/D17,"")</f>
      </c>
      <c r="G17" s="399">
        <v>1478.3181818181818</v>
      </c>
      <c r="H17" s="399">
        <v>1383.92</v>
      </c>
      <c r="I17" s="399">
        <v>1296.45</v>
      </c>
      <c r="J17" s="399">
        <v>1366.8035714285713</v>
      </c>
      <c r="K17" s="399">
        <v>1241.875</v>
      </c>
      <c r="L17" s="399">
        <v>992.8571428571429</v>
      </c>
      <c r="M17" s="399">
        <v>1000</v>
      </c>
      <c r="N17" s="5"/>
      <c r="O17" s="5"/>
      <c r="P17" s="5"/>
      <c r="Q17" s="5"/>
      <c r="R17" s="5"/>
      <c r="S17" s="5"/>
      <c r="T17" s="5"/>
      <c r="U17" s="5"/>
      <c r="V17" s="5"/>
      <c r="W17" s="5"/>
      <c r="X17" s="5"/>
      <c r="Y17" s="5"/>
      <c r="Z17" s="5"/>
    </row>
    <row r="18" spans="2:26" s="139" customFormat="true">
      <c r="B18" s="416" t="s">
        <v>782</v>
      </c>
      <c r="C18" s="364">
        <v>1144</v>
      </c>
      <c r="D18" s="385" t="str">
        <f ca="true">IFERROR(AVERAGE(INDIRECT("G"&amp;ROW()&amp;":Z"&amp;ROW())),"")</f>
      </c>
      <c r="E18" s="377" t="str">
        <f ca="true">IF(C18&gt;0,IFERROR((C18-D18),""),"")</f>
      </c>
      <c r="F18" s="320" t="str">
        <f ca="true">IFERROR(E18/D18,"")</f>
      </c>
      <c r="G18" s="399">
        <v>1464.892857142857</v>
      </c>
      <c r="H18" s="399">
        <v>1406.7142857142858</v>
      </c>
      <c r="I18" s="399">
        <v>1304.7727272727273</v>
      </c>
      <c r="J18" s="399">
        <v>1383.8208955223881</v>
      </c>
      <c r="K18" s="399">
        <v>1263.25</v>
      </c>
      <c r="L18" s="399">
        <v>992.8571428571429</v>
      </c>
      <c r="M18" s="399">
        <v>1000</v>
      </c>
      <c r="N18" s="5"/>
      <c r="O18" s="5"/>
      <c r="P18" s="5"/>
      <c r="Q18" s="5"/>
      <c r="R18" s="5"/>
      <c r="S18" s="5"/>
      <c r="T18" s="5"/>
      <c r="U18" s="5"/>
      <c r="V18" s="5"/>
      <c r="W18" s="5"/>
      <c r="X18" s="5"/>
      <c r="Y18" s="5"/>
      <c r="Z18" s="5"/>
    </row>
    <row r="19" spans="2:26" s="139" customFormat="true">
      <c r="B19" s="416" t="s">
        <v>783</v>
      </c>
      <c r="C19" s="364">
        <v>1144</v>
      </c>
      <c r="D19" s="385" t="str">
        <f ca="true">IFERROR(AVERAGE(INDIRECT("G"&amp;ROW()&amp;":Z"&amp;ROW())),"")</f>
      </c>
      <c r="E19" s="377" t="str">
        <f ca="true">IF(C19&gt;0,IFERROR((C19-D19),""),"")</f>
      </c>
      <c r="F19" s="320" t="str">
        <f ca="true">IFERROR(E19/D19,"")</f>
      </c>
      <c r="G19" s="399">
        <v>1476.7941176470588</v>
      </c>
      <c r="H19" s="399">
        <v>1459.6440677966102</v>
      </c>
      <c r="I19" s="399">
        <v>1298.4814814814815</v>
      </c>
      <c r="J19" s="399">
        <v>1389.2625</v>
      </c>
      <c r="K19" s="399">
        <v>1302.7083333333333</v>
      </c>
      <c r="L19" s="399">
        <v>992.8571428571429</v>
      </c>
      <c r="M19" s="399">
        <v>1000</v>
      </c>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1.8601626016260162</v>
      </c>
      <c r="D21" s="386" t="str">
        <f ca="true">IFERROR(AVERAGE(INDIRECT("G"&amp;ROW()&amp;":Z"&amp;ROW())),"")</f>
      </c>
      <c r="E21" s="378" t="str">
        <f ca="true">IF(C21&gt;0,IFERROR((C21-D21),""),"")</f>
      </c>
      <c r="F21" s="320" t="str">
        <f ca="true">IFERROR(E21/D21,"")</f>
      </c>
      <c r="G21" s="401">
        <v>2.1856854838709676</v>
      </c>
      <c r="H21" s="401">
        <v>1.6015846844371164</v>
      </c>
      <c r="I21" s="401">
        <v>2.1256763403836696</v>
      </c>
      <c r="J21" s="401">
        <v>1.5126164596273293</v>
      </c>
      <c r="K21" s="401">
        <v>1.7709447415329769</v>
      </c>
      <c r="L21" s="401"/>
      <c r="M21" s="401">
        <v>1.5384615384615385</v>
      </c>
      <c r="N21" s="6"/>
      <c r="O21" s="6"/>
      <c r="P21" s="6"/>
      <c r="Q21" s="6"/>
      <c r="R21" s="6"/>
      <c r="S21" s="6"/>
      <c r="T21" s="6"/>
      <c r="U21" s="6"/>
      <c r="V21" s="6"/>
      <c r="W21" s="6"/>
      <c r="X21" s="6"/>
      <c r="Y21" s="6"/>
      <c r="Z21" s="6"/>
    </row>
    <row r="22" spans="2:26" s="317" customFormat="true">
      <c r="B22" s="417" t="s">
        <v>782</v>
      </c>
      <c r="C22" s="366">
        <v>1.8601626016260162</v>
      </c>
      <c r="D22" s="386" t="str">
        <f ca="true">IFERROR(AVERAGE(INDIRECT("G"&amp;ROW()&amp;":Z"&amp;ROW())),"")</f>
      </c>
      <c r="E22" s="378" t="str">
        <f ca="true">IF(C22&gt;0,IFERROR((C22-D22),""),"")</f>
      </c>
      <c r="F22" s="320" t="str">
        <f ca="true">IFERROR(E22/D22,"")</f>
      </c>
      <c r="G22" s="401">
        <v>2.1705561729375034</v>
      </c>
      <c r="H22" s="401">
        <v>1.578288753323948</v>
      </c>
      <c r="I22" s="401">
        <v>2.1038551744356493</v>
      </c>
      <c r="J22" s="401">
        <v>1.5189985795454546</v>
      </c>
      <c r="K22" s="401">
        <v>1.782614831016722</v>
      </c>
      <c r="L22" s="401"/>
      <c r="M22" s="401">
        <v>1.5384615384615385</v>
      </c>
      <c r="N22" s="6"/>
      <c r="O22" s="6"/>
      <c r="P22" s="6"/>
      <c r="Q22" s="6"/>
      <c r="R22" s="6"/>
      <c r="S22" s="6"/>
      <c r="T22" s="6"/>
      <c r="U22" s="6"/>
      <c r="V22" s="6"/>
      <c r="W22" s="6"/>
      <c r="X22" s="6"/>
      <c r="Y22" s="6"/>
      <c r="Z22" s="6"/>
    </row>
    <row r="23" spans="2:26" s="317" customFormat="true">
      <c r="B23" s="417" t="s">
        <v>783</v>
      </c>
      <c r="C23" s="366">
        <v>1.8601626016260162</v>
      </c>
      <c r="D23" s="386" t="str">
        <f ca="true">IFERROR(AVERAGE(INDIRECT("G"&amp;ROW()&amp;":Z"&amp;ROW())),"")</f>
      </c>
      <c r="E23" s="378" t="str">
        <f ca="true">IF(C23&gt;0,IFERROR((C23-D23),""),"")</f>
      </c>
      <c r="F23" s="320" t="str">
        <f ca="true">IFERROR(E23/D23,"")</f>
      </c>
      <c r="G23" s="401">
        <v>2.164173958019051</v>
      </c>
      <c r="H23" s="401">
        <v>1.5936419550897114</v>
      </c>
      <c r="I23" s="401">
        <v>2.1381350246996402</v>
      </c>
      <c r="J23" s="401">
        <v>1.5170675150992234</v>
      </c>
      <c r="K23" s="401">
        <v>1.762403559159768</v>
      </c>
      <c r="L23" s="401"/>
      <c r="M23" s="401">
        <v>1.5384615384615385</v>
      </c>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1.8601626016260162</v>
      </c>
      <c r="D25" s="386" t="str">
        <f ca="true">IFERROR(AVERAGE(INDIRECT("G"&amp;ROW()&amp;":Z"&amp;ROW())),"")</f>
      </c>
      <c r="E25" s="378" t="str">
        <f ca="true">IF(C25&gt;0,IFERROR((C25-D25),""),"")</f>
      </c>
      <c r="F25" s="320" t="str">
        <f ca="true">IFERROR(E25/D25,"")</f>
      </c>
      <c r="G25" s="401">
        <v>2.1856854838709676</v>
      </c>
      <c r="H25" s="401">
        <v>1.5845928368599431</v>
      </c>
      <c r="I25" s="401">
        <v>2.1256763403836696</v>
      </c>
      <c r="J25" s="401">
        <v>1.485656055900621</v>
      </c>
      <c r="K25" s="401">
        <v>1.7709447415329769</v>
      </c>
      <c r="L25" s="401"/>
      <c r="M25" s="401">
        <v>1.5384615384615385</v>
      </c>
      <c r="N25" s="6"/>
      <c r="O25" s="6"/>
      <c r="P25" s="6"/>
      <c r="Q25" s="6"/>
      <c r="R25" s="6"/>
      <c r="S25" s="6"/>
      <c r="T25" s="6"/>
      <c r="U25" s="6"/>
      <c r="V25" s="6"/>
      <c r="W25" s="6"/>
      <c r="X25" s="6"/>
      <c r="Y25" s="6"/>
      <c r="Z25" s="6"/>
    </row>
    <row r="26" spans="2:26" s="317" customFormat="true">
      <c r="B26" s="417" t="s">
        <v>782</v>
      </c>
      <c r="C26" s="366">
        <v>1.8601626016260162</v>
      </c>
      <c r="D26" s="386" t="str">
        <f ca="true">IFERROR(AVERAGE(INDIRECT("G"&amp;ROW()&amp;":Z"&amp;ROW())),"")</f>
      </c>
      <c r="E26" s="378" t="str">
        <f ca="true">IF(C26&gt;0,IFERROR((C26-D26),""),"")</f>
      </c>
      <c r="F26" s="320" t="str">
        <f ca="true">IFERROR(E26/D26,"")</f>
      </c>
      <c r="G26" s="401">
        <v>2.1705561729375034</v>
      </c>
      <c r="H26" s="401">
        <v>1.5402784295323009</v>
      </c>
      <c r="I26" s="401">
        <v>2.1038551744356493</v>
      </c>
      <c r="J26" s="401">
        <v>1.4965779958677685</v>
      </c>
      <c r="K26" s="401">
        <v>1.782614831016722</v>
      </c>
      <c r="L26" s="401"/>
      <c r="M26" s="401">
        <v>1.5384615384615385</v>
      </c>
      <c r="N26" s="6"/>
      <c r="O26" s="6"/>
      <c r="P26" s="6"/>
      <c r="Q26" s="6"/>
      <c r="R26" s="6"/>
      <c r="S26" s="6"/>
      <c r="T26" s="6"/>
      <c r="U26" s="6"/>
      <c r="V26" s="6"/>
      <c r="W26" s="6"/>
      <c r="X26" s="6"/>
      <c r="Y26" s="6"/>
      <c r="Z26" s="6"/>
    </row>
    <row r="27" spans="2:26" s="317" customFormat="true">
      <c r="B27" s="417" t="s">
        <v>783</v>
      </c>
      <c r="C27" s="366">
        <v>1.8601626016260162</v>
      </c>
      <c r="D27" s="386" t="str">
        <f ca="true">IFERROR(AVERAGE(INDIRECT("G"&amp;ROW()&amp;":Z"&amp;ROW())),"")</f>
      </c>
      <c r="E27" s="378" t="str">
        <f ca="true">IF(C27&gt;0,IFERROR((C27-D27),""),"")</f>
      </c>
      <c r="F27" s="320" t="str">
        <f ca="true">IFERROR(E27/D27,"")</f>
      </c>
      <c r="G27" s="401">
        <v>2.164173958019051</v>
      </c>
      <c r="H27" s="401">
        <v>1.5671106743822105</v>
      </c>
      <c r="I27" s="401">
        <v>2.1381350246996402</v>
      </c>
      <c r="J27" s="401">
        <v>1.4983417817083693</v>
      </c>
      <c r="K27" s="401">
        <v>1.7607140845863603</v>
      </c>
      <c r="L27" s="401"/>
      <c r="M27" s="401">
        <v>1.5384615384615385</v>
      </c>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c r="D29" s="385" t="str">
        <f ca="true">IFERROR(AVERAGE(INDIRECT("G"&amp;ROW()&amp;":Z"&amp;ROW())),"")</f>
      </c>
      <c r="E29" s="377" t="str">
        <f ca="true">IF(C29&gt;0,IFERROR((C29-D29),""),"")</f>
      </c>
      <c r="F29" s="320" t="str">
        <f ca="true">IFERROR(E29/D29,"")</f>
      </c>
      <c r="G29" s="399"/>
      <c r="H29" s="399">
        <v>1013.125</v>
      </c>
      <c r="I29" s="399">
        <v>1134</v>
      </c>
      <c r="J29" s="399"/>
      <c r="K29" s="399">
        <v>1056.6666666666667</v>
      </c>
      <c r="L29" s="399">
        <v>900</v>
      </c>
      <c r="M29" s="399"/>
      <c r="N29" s="5"/>
      <c r="O29" s="5"/>
      <c r="P29" s="5"/>
      <c r="Q29" s="5"/>
      <c r="R29" s="5"/>
      <c r="S29" s="5"/>
      <c r="T29" s="5"/>
      <c r="U29" s="5"/>
      <c r="V29" s="5"/>
      <c r="W29" s="5"/>
      <c r="X29" s="5"/>
      <c r="Y29" s="5"/>
      <c r="Z29" s="5"/>
    </row>
    <row r="30" spans="2:26" s="139" customFormat="true">
      <c r="B30" s="416" t="s">
        <v>782</v>
      </c>
      <c r="C30" s="364"/>
      <c r="D30" s="385" t="str">
        <f ca="true">IFERROR(AVERAGE(INDIRECT("G"&amp;ROW()&amp;":Z"&amp;ROW())),"")</f>
      </c>
      <c r="E30" s="377" t="str">
        <f ca="true">IF(C30&gt;0,IFERROR((C30-D30),""),"")</f>
      </c>
      <c r="F30" s="320" t="str">
        <f ca="true">IFERROR(E30/D30,"")</f>
      </c>
      <c r="G30" s="399"/>
      <c r="H30" s="399">
        <v>1010</v>
      </c>
      <c r="I30" s="399">
        <v>1134</v>
      </c>
      <c r="J30" s="399"/>
      <c r="K30" s="399">
        <v>1073.75</v>
      </c>
      <c r="L30" s="399">
        <v>900</v>
      </c>
      <c r="M30" s="399"/>
      <c r="N30" s="5"/>
      <c r="O30" s="5"/>
      <c r="P30" s="5"/>
      <c r="Q30" s="5"/>
      <c r="R30" s="5"/>
      <c r="S30" s="5"/>
      <c r="T30" s="5"/>
      <c r="U30" s="5"/>
      <c r="V30" s="5"/>
      <c r="W30" s="5"/>
      <c r="X30" s="5"/>
      <c r="Y30" s="5"/>
      <c r="Z30" s="5"/>
    </row>
    <row r="31" spans="2:26" s="139" customFormat="true">
      <c r="B31" s="416" t="s">
        <v>783</v>
      </c>
      <c r="C31" s="364"/>
      <c r="D31" s="385" t="str">
        <f ca="true">IFERROR(AVERAGE(INDIRECT("G"&amp;ROW()&amp;":Z"&amp;ROW())),"")</f>
      </c>
      <c r="E31" s="377" t="str">
        <f ca="true">IF(C31&gt;0,IFERROR((C31-D31),""),"")</f>
      </c>
      <c r="F31" s="320" t="str">
        <f ca="true">IFERROR(E31/D31,"")</f>
      </c>
      <c r="G31" s="399"/>
      <c r="H31" s="399">
        <v>1018.3333333333334</v>
      </c>
      <c r="I31" s="399">
        <v>1129</v>
      </c>
      <c r="J31" s="399"/>
      <c r="K31" s="399">
        <v>1073.75</v>
      </c>
      <c r="L31" s="399">
        <v>900</v>
      </c>
      <c r="M31" s="399"/>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c r="D33" s="385" t="str">
        <f ca="true">IFERROR(AVERAGE(INDIRECT("G"&amp;ROW()&amp;":Z"&amp;ROW())),"")</f>
      </c>
      <c r="E33" s="377" t="str">
        <f ca="true">IF(C33&gt;0,IFERROR((C33-D33),""),"")</f>
      </c>
      <c r="F33" s="320" t="str">
        <f ca="true">IFERROR(E33/D33,"")</f>
      </c>
      <c r="G33" s="399"/>
      <c r="H33" s="399">
        <v>1013.125</v>
      </c>
      <c r="I33" s="399">
        <v>1134</v>
      </c>
      <c r="J33" s="399"/>
      <c r="K33" s="399">
        <v>1056.6666666666667</v>
      </c>
      <c r="L33" s="399">
        <v>900</v>
      </c>
      <c r="M33" s="399"/>
      <c r="N33" s="5"/>
      <c r="O33" s="5"/>
      <c r="P33" s="5"/>
      <c r="Q33" s="5"/>
      <c r="R33" s="5"/>
      <c r="S33" s="5"/>
      <c r="T33" s="5"/>
      <c r="U33" s="5"/>
      <c r="V33" s="5"/>
      <c r="W33" s="5"/>
      <c r="X33" s="5"/>
      <c r="Y33" s="5"/>
      <c r="Z33" s="5"/>
    </row>
    <row r="34" spans="2:26" s="139" customFormat="true">
      <c r="B34" s="416" t="s">
        <v>782</v>
      </c>
      <c r="C34" s="364"/>
      <c r="D34" s="385" t="str">
        <f ca="true">IFERROR(AVERAGE(INDIRECT("G"&amp;ROW()&amp;":Z"&amp;ROW())),"")</f>
      </c>
      <c r="E34" s="377" t="str">
        <f ca="true">IF(C34&gt;0,IFERROR((C34-D34),""),"")</f>
      </c>
      <c r="F34" s="320" t="str">
        <f ca="true">IFERROR(E34/D34,"")</f>
      </c>
      <c r="G34" s="399"/>
      <c r="H34" s="399">
        <v>1003.3</v>
      </c>
      <c r="I34" s="399">
        <v>1134</v>
      </c>
      <c r="J34" s="399"/>
      <c r="K34" s="399">
        <v>1073.75</v>
      </c>
      <c r="L34" s="399">
        <v>900</v>
      </c>
      <c r="M34" s="399"/>
      <c r="N34" s="5"/>
      <c r="O34" s="5"/>
      <c r="P34" s="5"/>
      <c r="Q34" s="5"/>
      <c r="R34" s="5"/>
      <c r="S34" s="5"/>
      <c r="T34" s="5"/>
      <c r="U34" s="5"/>
      <c r="V34" s="5"/>
      <c r="W34" s="5"/>
      <c r="X34" s="5"/>
      <c r="Y34" s="5"/>
      <c r="Z34" s="5"/>
    </row>
    <row r="35" spans="2:26" s="139" customFormat="true">
      <c r="B35" s="416" t="s">
        <v>783</v>
      </c>
      <c r="C35" s="364"/>
      <c r="D35" s="385" t="str">
        <f ca="true">IFERROR(AVERAGE(INDIRECT("G"&amp;ROW()&amp;":Z"&amp;ROW())),"")</f>
      </c>
      <c r="E35" s="377" t="str">
        <f ca="true">IF(C35&gt;0,IFERROR((C35-D35),""),"")</f>
      </c>
      <c r="F35" s="320" t="str">
        <f ca="true">IFERROR(E35/D35,"")</f>
      </c>
      <c r="G35" s="399"/>
      <c r="H35" s="399">
        <v>1012.75</v>
      </c>
      <c r="I35" s="399">
        <v>1129</v>
      </c>
      <c r="J35" s="399"/>
      <c r="K35" s="399">
        <v>1073.75</v>
      </c>
      <c r="L35" s="399">
        <v>900</v>
      </c>
      <c r="M35" s="399"/>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c r="D37" s="386" t="str">
        <f ca="true">IFERROR(AVERAGE(INDIRECT("G"&amp;ROW()&amp;":Z"&amp;ROW())),"")</f>
      </c>
      <c r="E37" s="378" t="str">
        <f ca="true">IF(C37&gt;0,IFERROR((C37-D37),""),"")</f>
      </c>
      <c r="F37" s="320" t="str">
        <f ca="true">IFERROR(E37/D37,"")</f>
      </c>
      <c r="G37" s="401"/>
      <c r="H37" s="401">
        <v>1.9749025341130604</v>
      </c>
      <c r="I37" s="401">
        <v>3.268011527377522</v>
      </c>
      <c r="J37" s="401"/>
      <c r="K37" s="401">
        <v>2.5400641025641026</v>
      </c>
      <c r="L37" s="401"/>
      <c r="M37" s="401"/>
      <c r="N37" s="6"/>
      <c r="O37" s="6"/>
      <c r="P37" s="6"/>
      <c r="Q37" s="6"/>
      <c r="R37" s="6"/>
      <c r="S37" s="6"/>
      <c r="T37" s="6"/>
      <c r="U37" s="6"/>
      <c r="V37" s="6"/>
      <c r="W37" s="6"/>
      <c r="X37" s="6"/>
      <c r="Y37" s="6"/>
      <c r="Z37" s="6"/>
    </row>
    <row r="38" spans="2:26" s="317" customFormat="true">
      <c r="B38" s="417" t="s">
        <v>782</v>
      </c>
      <c r="C38" s="366"/>
      <c r="D38" s="386" t="str">
        <f ca="true">IFERROR(AVERAGE(INDIRECT("G"&amp;ROW()&amp;":Z"&amp;ROW())),"")</f>
      </c>
      <c r="E38" s="378" t="str">
        <f ca="true">IF(C38&gt;0,IFERROR((C38-D38),""),"")</f>
      </c>
      <c r="F38" s="320" t="str">
        <f ca="true">IFERROR(E38/D38,"")</f>
      </c>
      <c r="G38" s="401"/>
      <c r="H38" s="401">
        <v>1.968810916179337</v>
      </c>
      <c r="I38" s="401">
        <v>3.268011527377522</v>
      </c>
      <c r="J38" s="401"/>
      <c r="K38" s="401">
        <v>2.5811298076923075</v>
      </c>
      <c r="L38" s="401"/>
      <c r="M38" s="401"/>
      <c r="N38" s="6"/>
      <c r="O38" s="6"/>
      <c r="P38" s="6"/>
      <c r="Q38" s="6"/>
      <c r="R38" s="6"/>
      <c r="S38" s="6"/>
      <c r="T38" s="6"/>
      <c r="U38" s="6"/>
      <c r="V38" s="6"/>
      <c r="W38" s="6"/>
      <c r="X38" s="6"/>
      <c r="Y38" s="6"/>
      <c r="Z38" s="6"/>
    </row>
    <row r="39" spans="2:26" s="317" customFormat="true">
      <c r="B39" s="417" t="s">
        <v>783</v>
      </c>
      <c r="C39" s="366"/>
      <c r="D39" s="386" t="str">
        <f ca="true">IFERROR(AVERAGE(INDIRECT("G"&amp;ROW()&amp;":Z"&amp;ROW())),"")</f>
      </c>
      <c r="E39" s="378" t="str">
        <f ca="true">IF(C39&gt;0,IFERROR((C39-D39),""),"")</f>
      </c>
      <c r="F39" s="320" t="str">
        <f ca="true">IFERROR(E39/D39,"")</f>
      </c>
      <c r="G39" s="401"/>
      <c r="H39" s="401">
        <v>1.985055230669266</v>
      </c>
      <c r="I39" s="401">
        <v>3.2536023054755043</v>
      </c>
      <c r="J39" s="401"/>
      <c r="K39" s="401">
        <v>2.5811298076923075</v>
      </c>
      <c r="L39" s="401"/>
      <c r="M39" s="401"/>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c r="D41" s="386" t="str">
        <f ca="true">IFERROR(AVERAGE(INDIRECT("G"&amp;ROW()&amp;":Z"&amp;ROW())),"")</f>
      </c>
      <c r="E41" s="378" t="str">
        <f ca="true">IF(C41&gt;0,IFERROR((C41-D41),""),"")</f>
      </c>
      <c r="F41" s="320" t="str">
        <f ca="true">IFERROR(E41/D41,"")</f>
      </c>
      <c r="G41" s="401"/>
      <c r="H41" s="401">
        <v>1.9749025341130604</v>
      </c>
      <c r="I41" s="401">
        <v>3.268011527377522</v>
      </c>
      <c r="J41" s="401"/>
      <c r="K41" s="401">
        <v>2.5400641025641026</v>
      </c>
      <c r="L41" s="401"/>
      <c r="M41" s="401"/>
      <c r="N41" s="6"/>
      <c r="O41" s="6"/>
      <c r="P41" s="6"/>
      <c r="Q41" s="6"/>
      <c r="R41" s="6"/>
      <c r="S41" s="6"/>
      <c r="T41" s="6"/>
      <c r="U41" s="6"/>
      <c r="V41" s="6"/>
      <c r="W41" s="6"/>
      <c r="X41" s="6"/>
      <c r="Y41" s="6"/>
      <c r="Z41" s="6"/>
    </row>
    <row r="42" spans="2:26" s="317" customFormat="true">
      <c r="B42" s="417" t="s">
        <v>782</v>
      </c>
      <c r="C42" s="366"/>
      <c r="D42" s="386" t="str">
        <f ca="true">IFERROR(AVERAGE(INDIRECT("G"&amp;ROW()&amp;":Z"&amp;ROW())),"")</f>
      </c>
      <c r="E42" s="378" t="str">
        <f ca="true">IF(C42&gt;0,IFERROR((C42-D42),""),"")</f>
      </c>
      <c r="F42" s="320" t="str">
        <f ca="true">IFERROR(E42/D42,"")</f>
      </c>
      <c r="G42" s="401"/>
      <c r="H42" s="401">
        <v>1.955750487329435</v>
      </c>
      <c r="I42" s="401">
        <v>3.268011527377522</v>
      </c>
      <c r="J42" s="401"/>
      <c r="K42" s="401">
        <v>2.5811298076923075</v>
      </c>
      <c r="L42" s="401"/>
      <c r="M42" s="401"/>
      <c r="N42" s="6"/>
      <c r="O42" s="6"/>
      <c r="P42" s="6"/>
      <c r="Q42" s="6"/>
      <c r="R42" s="6"/>
      <c r="S42" s="6"/>
      <c r="T42" s="6"/>
      <c r="U42" s="6"/>
      <c r="V42" s="6"/>
      <c r="W42" s="6"/>
      <c r="X42" s="6"/>
      <c r="Y42" s="6"/>
      <c r="Z42" s="6"/>
    </row>
    <row r="43" spans="2:26" s="317" customFormat="true">
      <c r="B43" s="417" t="s">
        <v>783</v>
      </c>
      <c r="C43" s="366"/>
      <c r="D43" s="386" t="str">
        <f ca="true">IFERROR(AVERAGE(INDIRECT("G"&amp;ROW()&amp;":Z"&amp;ROW())),"")</f>
      </c>
      <c r="E43" s="378" t="str">
        <f ca="true">IF(C43&gt;0,IFERROR((C43-D43),""),"")</f>
      </c>
      <c r="F43" s="320" t="str">
        <f ca="true">IFERROR(E43/D43,"")</f>
      </c>
      <c r="G43" s="401"/>
      <c r="H43" s="401">
        <v>1.974171539961014</v>
      </c>
      <c r="I43" s="401">
        <v>3.2536023054755043</v>
      </c>
      <c r="J43" s="401"/>
      <c r="K43" s="401">
        <v>2.5811298076923075</v>
      </c>
      <c r="L43" s="401"/>
      <c r="M43" s="401"/>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1029</v>
      </c>
      <c r="D45" s="385" t="str">
        <f ca="true">IFERROR(AVERAGE(INDIRECT("G"&amp;ROW()&amp;":Z"&amp;ROW())),"")</f>
      </c>
      <c r="E45" s="377" t="str">
        <f ca="true">IF(C45&gt;0,IFERROR((C45-D45),""),"")</f>
      </c>
      <c r="F45" s="320" t="str">
        <f ca="true">IFERROR(E45/D45,"")</f>
      </c>
      <c r="G45" s="399">
        <v>1320</v>
      </c>
      <c r="H45" s="399"/>
      <c r="I45" s="399">
        <v>1279.75</v>
      </c>
      <c r="J45" s="399">
        <v>1282.7777777777778</v>
      </c>
      <c r="K45" s="399">
        <v>1160</v>
      </c>
      <c r="L45" s="399">
        <v>1062.5</v>
      </c>
      <c r="M45" s="399">
        <v>1000</v>
      </c>
      <c r="N45" s="5"/>
      <c r="O45" s="5"/>
      <c r="P45" s="5"/>
      <c r="Q45" s="5"/>
      <c r="R45" s="5"/>
      <c r="S45" s="5"/>
      <c r="T45" s="5"/>
      <c r="U45" s="5"/>
      <c r="V45" s="5"/>
      <c r="W45" s="5"/>
      <c r="X45" s="5"/>
      <c r="Y45" s="5"/>
      <c r="Z45" s="5"/>
    </row>
    <row r="46" spans="2:26" s="139" customFormat="true">
      <c r="B46" s="416" t="s">
        <v>782</v>
      </c>
      <c r="C46" s="364">
        <v>1029</v>
      </c>
      <c r="D46" s="385" t="str">
        <f ca="true">IFERROR(AVERAGE(INDIRECT("G"&amp;ROW()&amp;":Z"&amp;ROW())),"")</f>
      </c>
      <c r="E46" s="377" t="str">
        <f ca="true">IF(C46&gt;0,IFERROR((C46-D46),""),"")</f>
      </c>
      <c r="F46" s="320" t="str">
        <f ca="true">IFERROR(E46/D46,"")</f>
      </c>
      <c r="G46" s="399">
        <v>1327.4615384615386</v>
      </c>
      <c r="H46" s="399"/>
      <c r="I46" s="399">
        <v>1284.1538461538462</v>
      </c>
      <c r="J46" s="399">
        <v>1282.7777777777778</v>
      </c>
      <c r="K46" s="399">
        <v>1183.125</v>
      </c>
      <c r="L46" s="399">
        <v>1062.5</v>
      </c>
      <c r="M46" s="399">
        <v>1000</v>
      </c>
      <c r="N46" s="5"/>
      <c r="O46" s="5"/>
      <c r="P46" s="5"/>
      <c r="Q46" s="5"/>
      <c r="R46" s="5"/>
      <c r="S46" s="5"/>
      <c r="T46" s="5"/>
      <c r="U46" s="5"/>
      <c r="V46" s="5"/>
      <c r="W46" s="5"/>
      <c r="X46" s="5"/>
      <c r="Y46" s="5"/>
      <c r="Z46" s="5"/>
    </row>
    <row r="47" spans="2:26" s="139" customFormat="true">
      <c r="B47" s="416" t="s">
        <v>783</v>
      </c>
      <c r="C47" s="364">
        <v>1029</v>
      </c>
      <c r="D47" s="385" t="str">
        <f ca="true">IFERROR(AVERAGE(INDIRECT("G"&amp;ROW()&amp;":Z"&amp;ROW())),"")</f>
      </c>
      <c r="E47" s="377" t="str">
        <f ca="true">IF(C47&gt;0,IFERROR((C47-D47),""),"")</f>
      </c>
      <c r="F47" s="320" t="str">
        <f ca="true">IFERROR(E47/D47,"")</f>
      </c>
      <c r="G47" s="399">
        <v>1318.2857142857142</v>
      </c>
      <c r="H47" s="399"/>
      <c r="I47" s="399">
        <v>1289.4</v>
      </c>
      <c r="J47" s="399">
        <v>1280.5</v>
      </c>
      <c r="K47" s="399">
        <v>1183.125</v>
      </c>
      <c r="L47" s="399">
        <v>1062.5</v>
      </c>
      <c r="M47" s="399">
        <v>1000</v>
      </c>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1029</v>
      </c>
      <c r="D49" s="385" t="str">
        <f ca="true">IFERROR(AVERAGE(INDIRECT("G"&amp;ROW()&amp;":Z"&amp;ROW())),"")</f>
      </c>
      <c r="E49" s="377" t="str">
        <f ca="true">IF(C49&gt;0,IFERROR((C49-D49),""),"")</f>
      </c>
      <c r="F49" s="320" t="str">
        <f ca="true">IFERROR(E49/D49,"")</f>
      </c>
      <c r="G49" s="399">
        <v>1320</v>
      </c>
      <c r="H49" s="399"/>
      <c r="I49" s="399">
        <v>1279.75</v>
      </c>
      <c r="J49" s="399">
        <v>1259.111111111111</v>
      </c>
      <c r="K49" s="399">
        <v>1160</v>
      </c>
      <c r="L49" s="399">
        <v>1062.5</v>
      </c>
      <c r="M49" s="399">
        <v>1000</v>
      </c>
      <c r="N49" s="5"/>
      <c r="O49" s="5"/>
      <c r="P49" s="5"/>
      <c r="Q49" s="5"/>
      <c r="R49" s="5"/>
      <c r="S49" s="5"/>
      <c r="T49" s="5"/>
      <c r="U49" s="5"/>
      <c r="V49" s="5"/>
      <c r="W49" s="5"/>
      <c r="X49" s="5"/>
      <c r="Y49" s="5"/>
      <c r="Z49" s="5"/>
    </row>
    <row r="50" spans="2:26" s="139" customFormat="true">
      <c r="B50" s="416" t="s">
        <v>782</v>
      </c>
      <c r="C50" s="364">
        <v>1029</v>
      </c>
      <c r="D50" s="385" t="str">
        <f ca="true">IFERROR(AVERAGE(INDIRECT("G"&amp;ROW()&amp;":Z"&amp;ROW())),"")</f>
      </c>
      <c r="E50" s="377" t="str">
        <f ca="true">IF(C50&gt;0,IFERROR((C50-D50),""),"")</f>
      </c>
      <c r="F50" s="320" t="str">
        <f ca="true">IFERROR(E50/D50,"")</f>
      </c>
      <c r="G50" s="399">
        <v>1327.4615384615386</v>
      </c>
      <c r="H50" s="399"/>
      <c r="I50" s="399">
        <v>1284.1538461538462</v>
      </c>
      <c r="J50" s="399">
        <v>1259.111111111111</v>
      </c>
      <c r="K50" s="399">
        <v>1183.125</v>
      </c>
      <c r="L50" s="399">
        <v>1062.5</v>
      </c>
      <c r="M50" s="399">
        <v>1000</v>
      </c>
      <c r="N50" s="5"/>
      <c r="O50" s="5"/>
      <c r="P50" s="5"/>
      <c r="Q50" s="5"/>
      <c r="R50" s="5"/>
      <c r="S50" s="5"/>
      <c r="T50" s="5"/>
      <c r="U50" s="5"/>
      <c r="V50" s="5"/>
      <c r="W50" s="5"/>
      <c r="X50" s="5"/>
      <c r="Y50" s="5"/>
      <c r="Z50" s="5"/>
    </row>
    <row r="51" spans="2:26" s="139" customFormat="true">
      <c r="B51" s="416" t="s">
        <v>783</v>
      </c>
      <c r="C51" s="364">
        <v>1029</v>
      </c>
      <c r="D51" s="385" t="str">
        <f ca="true">IFERROR(AVERAGE(INDIRECT("G"&amp;ROW()&amp;":Z"&amp;ROW())),"")</f>
      </c>
      <c r="E51" s="377" t="str">
        <f ca="true">IF(C51&gt;0,IFERROR((C51-D51),""),"")</f>
      </c>
      <c r="F51" s="320" t="str">
        <f ca="true">IFERROR(E51/D51,"")</f>
      </c>
      <c r="G51" s="399">
        <v>1318.2857142857142</v>
      </c>
      <c r="H51" s="399"/>
      <c r="I51" s="399">
        <v>1289.4</v>
      </c>
      <c r="J51" s="399">
        <v>1259.2</v>
      </c>
      <c r="K51" s="399">
        <v>1183.125</v>
      </c>
      <c r="L51" s="399">
        <v>1062.5</v>
      </c>
      <c r="M51" s="399">
        <v>1000</v>
      </c>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1.854054054054054</v>
      </c>
      <c r="D53" s="386" t="str">
        <f ca="true">IFERROR(AVERAGE(INDIRECT("G"&amp;ROW()&amp;":Z"&amp;ROW())),"")</f>
      </c>
      <c r="E53" s="378" t="str">
        <f ca="true">IF(C53&gt;0,IFERROR((C53-D53),""),"")</f>
      </c>
      <c r="F53" s="320" t="str">
        <f ca="true">IFERROR(E53/D53,"")</f>
      </c>
      <c r="G53" s="401">
        <v>2.228049877045899</v>
      </c>
      <c r="H53" s="401"/>
      <c r="I53" s="401">
        <v>2.063222971970933</v>
      </c>
      <c r="J53" s="401">
        <v>1.822127525252525</v>
      </c>
      <c r="K53" s="401">
        <v>1.8333963296211617</v>
      </c>
      <c r="L53" s="401"/>
      <c r="M53" s="401">
        <v>1.5384615384615385</v>
      </c>
      <c r="N53" s="6"/>
      <c r="O53" s="6"/>
      <c r="P53" s="6"/>
      <c r="Q53" s="6"/>
      <c r="R53" s="6"/>
      <c r="S53" s="6"/>
      <c r="T53" s="6"/>
      <c r="U53" s="6"/>
      <c r="V53" s="6"/>
      <c r="W53" s="6"/>
      <c r="X53" s="6"/>
      <c r="Y53" s="6"/>
      <c r="Z53" s="6"/>
    </row>
    <row r="54" spans="2:26" s="139" customFormat="true">
      <c r="B54" s="417" t="s">
        <v>782</v>
      </c>
      <c r="C54" s="366">
        <v>1.854054054054054</v>
      </c>
      <c r="D54" s="386" t="str">
        <f ca="true">IFERROR(AVERAGE(INDIRECT("G"&amp;ROW()&amp;":Z"&amp;ROW())),"")</f>
      </c>
      <c r="E54" s="378" t="str">
        <f ca="true">IF(C54&gt;0,IFERROR((C54-D54),""),"")</f>
      </c>
      <c r="F54" s="320" t="str">
        <f ca="true">IFERROR(E54/D54,"")</f>
      </c>
      <c r="G54" s="401">
        <v>2.2302475340994175</v>
      </c>
      <c r="H54" s="401"/>
      <c r="I54" s="401">
        <v>2.05060179930184</v>
      </c>
      <c r="J54" s="401">
        <v>1.822127525252525</v>
      </c>
      <c r="K54" s="401">
        <v>1.8298929293581139</v>
      </c>
      <c r="L54" s="401"/>
      <c r="M54" s="401">
        <v>1.5384615384615385</v>
      </c>
      <c r="N54" s="6"/>
      <c r="O54" s="6"/>
      <c r="P54" s="6"/>
      <c r="Q54" s="6"/>
      <c r="R54" s="6"/>
      <c r="S54" s="6"/>
      <c r="T54" s="6"/>
      <c r="U54" s="6"/>
      <c r="V54" s="6"/>
      <c r="W54" s="6"/>
      <c r="X54" s="6"/>
      <c r="Y54" s="6"/>
      <c r="Z54" s="6"/>
    </row>
    <row r="55" spans="2:26" s="139" customFormat="true">
      <c r="B55" s="417" t="s">
        <v>783</v>
      </c>
      <c r="C55" s="366">
        <v>1.854054054054054</v>
      </c>
      <c r="D55" s="386" t="str">
        <f ca="true">IFERROR(AVERAGE(INDIRECT("G"&amp;ROW()&amp;":Z"&amp;ROW())),"")</f>
      </c>
      <c r="E55" s="378" t="str">
        <f ca="true">IF(C55&gt;0,IFERROR((C55-D55),""),"")</f>
      </c>
      <c r="F55" s="320" t="str">
        <f ca="true">IFERROR(E55/D55,"")</f>
      </c>
      <c r="G55" s="401">
        <v>2.224978054531165</v>
      </c>
      <c r="H55" s="401"/>
      <c r="I55" s="401">
        <v>2.0457747849621835</v>
      </c>
      <c r="J55" s="401">
        <v>1.8188920454545454</v>
      </c>
      <c r="K55" s="401">
        <v>1.8298929293581139</v>
      </c>
      <c r="L55" s="401"/>
      <c r="M55" s="401">
        <v>1.5384615384615385</v>
      </c>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1.854054054054054</v>
      </c>
      <c r="D57" s="386" t="str">
        <f ca="true">IFERROR(AVERAGE(INDIRECT("G"&amp;ROW()&amp;":Z"&amp;ROW())),"")</f>
      </c>
      <c r="E57" s="378" t="str">
        <f ca="true">IF(C57&gt;0,IFERROR((C57-D57),""),"")</f>
      </c>
      <c r="F57" s="320" t="str">
        <f ca="true">IFERROR(E57/D57,"")</f>
      </c>
      <c r="G57" s="401">
        <v>2.228049877045899</v>
      </c>
      <c r="H57" s="401"/>
      <c r="I57" s="401">
        <v>2.063222971970933</v>
      </c>
      <c r="J57" s="401">
        <v>1.7885101010101014</v>
      </c>
      <c r="K57" s="401">
        <v>1.8333963296211617</v>
      </c>
      <c r="L57" s="401"/>
      <c r="M57" s="401">
        <v>1.5384615384615385</v>
      </c>
      <c r="N57" s="6"/>
      <c r="O57" s="6"/>
      <c r="P57" s="6"/>
      <c r="Q57" s="6"/>
      <c r="R57" s="6"/>
      <c r="S57" s="6"/>
      <c r="T57" s="6"/>
      <c r="U57" s="6"/>
      <c r="V57" s="6"/>
      <c r="W57" s="6"/>
      <c r="X57" s="6"/>
      <c r="Y57" s="6"/>
      <c r="Z57" s="6"/>
    </row>
    <row r="58" spans="2:26" s="139" customFormat="true">
      <c r="B58" s="417" t="s">
        <v>782</v>
      </c>
      <c r="C58" s="366">
        <v>1.854054054054054</v>
      </c>
      <c r="D58" s="386" t="str">
        <f ca="true">IFERROR(AVERAGE(INDIRECT("G"&amp;ROW()&amp;":Z"&amp;ROW())),"")</f>
      </c>
      <c r="E58" s="378" t="str">
        <f ca="true">IF(C58&gt;0,IFERROR((C58-D58),""),"")</f>
      </c>
      <c r="F58" s="320" t="str">
        <f ca="true">IFERROR(E58/D58,"")</f>
      </c>
      <c r="G58" s="401">
        <v>2.2302475340994175</v>
      </c>
      <c r="H58" s="401"/>
      <c r="I58" s="401">
        <v>2.05060179930184</v>
      </c>
      <c r="J58" s="401">
        <v>1.7885101010101014</v>
      </c>
      <c r="K58" s="401">
        <v>1.8298929293581139</v>
      </c>
      <c r="L58" s="401"/>
      <c r="M58" s="401">
        <v>1.5384615384615385</v>
      </c>
      <c r="N58" s="6"/>
      <c r="O58" s="6"/>
      <c r="P58" s="6"/>
      <c r="Q58" s="6"/>
      <c r="R58" s="6"/>
      <c r="S58" s="6"/>
      <c r="T58" s="6"/>
      <c r="U58" s="6"/>
      <c r="V58" s="6"/>
      <c r="W58" s="6"/>
      <c r="X58" s="6"/>
      <c r="Y58" s="6"/>
      <c r="Z58" s="6"/>
    </row>
    <row r="59" spans="2:26" s="139" customFormat="true">
      <c r="B59" s="417" t="s">
        <v>783</v>
      </c>
      <c r="C59" s="366">
        <v>1.854054054054054</v>
      </c>
      <c r="D59" s="386" t="str">
        <f ca="true">IFERROR(AVERAGE(INDIRECT("G"&amp;ROW()&amp;":Z"&amp;ROW())),"")</f>
      </c>
      <c r="E59" s="378" t="str">
        <f ca="true">IF(C59&gt;0,IFERROR((C59-D59),""),"")</f>
      </c>
      <c r="F59" s="320" t="str">
        <f ca="true">IFERROR(E59/D59,"")</f>
      </c>
      <c r="G59" s="401">
        <v>2.224978054531165</v>
      </c>
      <c r="H59" s="401"/>
      <c r="I59" s="401">
        <v>2.0457747849621835</v>
      </c>
      <c r="J59" s="401">
        <v>1.788636363636364</v>
      </c>
      <c r="K59" s="401">
        <v>1.8298929293581139</v>
      </c>
      <c r="L59" s="401"/>
      <c r="M59" s="401">
        <v>1.5384615384615385</v>
      </c>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v>1259</v>
      </c>
      <c r="D61" s="385" t="str">
        <f ca="true">IFERROR(AVERAGE(INDIRECT("G"&amp;ROW()&amp;":Z"&amp;ROW())),"")</f>
      </c>
      <c r="E61" s="377" t="str">
        <f ca="true">IF(C61&gt;0,IFERROR((C61-D61),""),"")</f>
      </c>
      <c r="F61" s="320" t="str">
        <f ca="true">IFERROR(E61/D61,"")</f>
      </c>
      <c r="G61" s="399">
        <v>1540.5</v>
      </c>
      <c r="H61" s="399">
        <v>1430.4444444444443</v>
      </c>
      <c r="I61" s="399">
        <v>1434</v>
      </c>
      <c r="J61" s="399">
        <v>1327.4193548387098</v>
      </c>
      <c r="K61" s="399">
        <v>1430</v>
      </c>
      <c r="L61" s="399"/>
      <c r="M61" s="399"/>
      <c r="N61" s="5"/>
      <c r="O61" s="5"/>
      <c r="P61" s="5"/>
      <c r="Q61" s="5"/>
      <c r="R61" s="5"/>
      <c r="S61" s="5"/>
      <c r="T61" s="5"/>
      <c r="U61" s="5"/>
      <c r="V61" s="5"/>
      <c r="W61" s="5"/>
      <c r="X61" s="5"/>
      <c r="Y61" s="5"/>
      <c r="Z61" s="5"/>
    </row>
    <row r="62" spans="2:26" s="139" customFormat="true">
      <c r="B62" s="416" t="s">
        <v>782</v>
      </c>
      <c r="C62" s="364">
        <v>1259</v>
      </c>
      <c r="D62" s="385" t="str">
        <f ca="true">IFERROR(AVERAGE(INDIRECT("G"&amp;ROW()&amp;":Z"&amp;ROW())),"")</f>
      </c>
      <c r="E62" s="377" t="str">
        <f ca="true">IF(C62&gt;0,IFERROR((C62-D62),""),"")</f>
      </c>
      <c r="F62" s="320" t="str">
        <f ca="true">IFERROR(E62/D62,"")</f>
      </c>
      <c r="G62" s="399">
        <v>1526.3076923076924</v>
      </c>
      <c r="H62" s="399">
        <v>1486.1904761904761</v>
      </c>
      <c r="I62" s="399">
        <v>1434.8333333333333</v>
      </c>
      <c r="J62" s="399">
        <v>1342.4358974358975</v>
      </c>
      <c r="K62" s="399">
        <v>1438.125</v>
      </c>
      <c r="L62" s="399"/>
      <c r="M62" s="399"/>
      <c r="N62" s="5"/>
      <c r="O62" s="5"/>
      <c r="P62" s="5"/>
      <c r="Q62" s="5"/>
      <c r="R62" s="5"/>
      <c r="S62" s="5"/>
      <c r="T62" s="5"/>
      <c r="U62" s="5"/>
      <c r="V62" s="5"/>
      <c r="W62" s="5"/>
      <c r="X62" s="5"/>
      <c r="Y62" s="5"/>
      <c r="Z62" s="5"/>
    </row>
    <row r="63" spans="2:26" s="139" customFormat="true">
      <c r="B63" s="416" t="s">
        <v>783</v>
      </c>
      <c r="C63" s="364">
        <v>1259</v>
      </c>
      <c r="D63" s="385" t="str">
        <f ca="true">IFERROR(AVERAGE(INDIRECT("G"&amp;ROW()&amp;":Z"&amp;ROW())),"")</f>
      </c>
      <c r="E63" s="377" t="str">
        <f ca="true">IF(C63&gt;0,IFERROR((C63-D63),""),"")</f>
      </c>
      <c r="F63" s="320" t="str">
        <f ca="true">IFERROR(E63/D63,"")</f>
      </c>
      <c r="G63" s="399">
        <v>1528.7058823529412</v>
      </c>
      <c r="H63" s="399">
        <v>1521.9354838709678</v>
      </c>
      <c r="I63" s="399">
        <v>1439</v>
      </c>
      <c r="J63" s="399">
        <v>1343.0851063829787</v>
      </c>
      <c r="K63" s="399">
        <v>1461.25</v>
      </c>
      <c r="L63" s="399"/>
      <c r="M63" s="399"/>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v>1259</v>
      </c>
      <c r="D65" s="385" t="str">
        <f ca="true">IFERROR(AVERAGE(INDIRECT("G"&amp;ROW()&amp;":Z"&amp;ROW())),"")</f>
      </c>
      <c r="E65" s="377" t="str">
        <f ca="true">IF(C65&gt;0,IFERROR((C65-D65),""),"")</f>
      </c>
      <c r="F65" s="320" t="str">
        <f ca="true">IFERROR(E65/D65,"")</f>
      </c>
      <c r="G65" s="399">
        <v>1540.5</v>
      </c>
      <c r="H65" s="399">
        <v>1418.7777777777778</v>
      </c>
      <c r="I65" s="399">
        <v>1434</v>
      </c>
      <c r="J65" s="399">
        <v>1298.967741935484</v>
      </c>
      <c r="K65" s="399">
        <v>1430</v>
      </c>
      <c r="L65" s="399"/>
      <c r="M65" s="399"/>
      <c r="N65" s="5"/>
      <c r="O65" s="5"/>
      <c r="P65" s="5"/>
      <c r="Q65" s="5"/>
      <c r="R65" s="5"/>
      <c r="S65" s="5"/>
      <c r="T65" s="5"/>
      <c r="U65" s="5"/>
      <c r="V65" s="5"/>
      <c r="W65" s="5"/>
      <c r="X65" s="5"/>
      <c r="Y65" s="5"/>
      <c r="Z65" s="5"/>
    </row>
    <row r="66" spans="2:26" s="139" customFormat="true">
      <c r="B66" s="416" t="s">
        <v>782</v>
      </c>
      <c r="C66" s="364">
        <v>1259</v>
      </c>
      <c r="D66" s="385" t="str">
        <f ca="true">IFERROR(AVERAGE(INDIRECT("G"&amp;ROW()&amp;":Z"&amp;ROW())),"")</f>
      </c>
      <c r="E66" s="377" t="str">
        <f ca="true">IF(C66&gt;0,IFERROR((C66-D66),""),"")</f>
      </c>
      <c r="F66" s="320" t="str">
        <f ca="true">IFERROR(E66/D66,"")</f>
      </c>
      <c r="G66" s="399">
        <v>1526.3076923076924</v>
      </c>
      <c r="H66" s="399">
        <v>1444.5714285714287</v>
      </c>
      <c r="I66" s="399">
        <v>1434.8333333333333</v>
      </c>
      <c r="J66" s="399">
        <v>1319.820512820513</v>
      </c>
      <c r="K66" s="399">
        <v>1438.125</v>
      </c>
      <c r="L66" s="399"/>
      <c r="M66" s="399"/>
      <c r="N66" s="5"/>
      <c r="O66" s="5"/>
      <c r="P66" s="5"/>
      <c r="Q66" s="5"/>
      <c r="R66" s="5"/>
      <c r="S66" s="5"/>
      <c r="T66" s="5"/>
      <c r="U66" s="5"/>
      <c r="V66" s="5"/>
      <c r="W66" s="5"/>
      <c r="X66" s="5"/>
      <c r="Y66" s="5"/>
      <c r="Z66" s="5"/>
    </row>
    <row r="67" spans="2:26" s="139" customFormat="true">
      <c r="B67" s="416" t="s">
        <v>783</v>
      </c>
      <c r="C67" s="364">
        <v>1259</v>
      </c>
      <c r="D67" s="385" t="str">
        <f ca="true">IFERROR(AVERAGE(INDIRECT("G"&amp;ROW()&amp;":Z"&amp;ROW())),"")</f>
      </c>
      <c r="E67" s="377" t="str">
        <f ca="true">IF(C67&gt;0,IFERROR((C67-D67),""),"")</f>
      </c>
      <c r="F67" s="320" t="str">
        <f ca="true">IFERROR(E67/D67,"")</f>
      </c>
      <c r="G67" s="399">
        <v>1528.7058823529412</v>
      </c>
      <c r="H67" s="399">
        <v>1493.741935483871</v>
      </c>
      <c r="I67" s="399">
        <v>1439</v>
      </c>
      <c r="J67" s="399">
        <v>1324.3191489361702</v>
      </c>
      <c r="K67" s="399">
        <v>1458.75</v>
      </c>
      <c r="L67" s="399"/>
      <c r="M67" s="399"/>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v>1.8651851851851853</v>
      </c>
      <c r="D69" s="386" t="str">
        <f ca="true">IFERROR(AVERAGE(INDIRECT("G"&amp;ROW()&amp;":Z"&amp;ROW())),"")</f>
      </c>
      <c r="E69" s="378" t="str">
        <f ca="true">IF(C69&gt;0,IFERROR((C69-D69),""),"")</f>
      </c>
      <c r="F69" s="320" t="str">
        <f ca="true">IFERROR(E69/D69,"")</f>
      </c>
      <c r="G69" s="401">
        <v>2.09944909363751</v>
      </c>
      <c r="H69" s="401">
        <v>1.3941953649555991</v>
      </c>
      <c r="I69" s="401">
        <v>1.9326145552560647</v>
      </c>
      <c r="J69" s="401">
        <v>1.481494815668203</v>
      </c>
      <c r="K69" s="401">
        <v>1.595982142857143</v>
      </c>
      <c r="L69" s="401"/>
      <c r="M69" s="401"/>
      <c r="N69" s="6"/>
      <c r="O69" s="6"/>
      <c r="P69" s="6"/>
      <c r="Q69" s="6"/>
      <c r="R69" s="6"/>
      <c r="S69" s="6"/>
      <c r="T69" s="6"/>
      <c r="U69" s="6"/>
      <c r="V69" s="6"/>
      <c r="W69" s="6"/>
      <c r="X69" s="6"/>
      <c r="Y69" s="6"/>
      <c r="Z69" s="6"/>
    </row>
    <row r="70" spans="2:26" s="139" customFormat="true">
      <c r="B70" s="417" t="s">
        <v>782</v>
      </c>
      <c r="C70" s="366">
        <v>1.8651851851851853</v>
      </c>
      <c r="D70" s="386" t="str">
        <f ca="true">IFERROR(AVERAGE(INDIRECT("G"&amp;ROW()&amp;":Z"&amp;ROW())),"")</f>
      </c>
      <c r="E70" s="378" t="str">
        <f ca="true">IF(C70&gt;0,IFERROR((C70-D70),""),"")</f>
      </c>
      <c r="F70" s="320" t="str">
        <f ca="true">IFERROR(E70/D70,"")</f>
      </c>
      <c r="G70" s="401">
        <v>2.079681999443371</v>
      </c>
      <c r="H70" s="401">
        <v>1.4485287292304836</v>
      </c>
      <c r="I70" s="401">
        <v>1.933737646001797</v>
      </c>
      <c r="J70" s="401">
        <v>1.49825434981685</v>
      </c>
      <c r="K70" s="401">
        <v>1.6050502232142858</v>
      </c>
      <c r="L70" s="401"/>
      <c r="M70" s="401"/>
      <c r="N70" s="6"/>
      <c r="O70" s="6"/>
      <c r="P70" s="6"/>
      <c r="Q70" s="6"/>
      <c r="R70" s="6"/>
      <c r="S70" s="6"/>
      <c r="T70" s="6"/>
      <c r="U70" s="6"/>
      <c r="V70" s="6"/>
      <c r="W70" s="6"/>
      <c r="X70" s="6"/>
      <c r="Y70" s="6"/>
      <c r="Z70" s="6"/>
    </row>
    <row r="71" spans="2:26" s="139" customFormat="true">
      <c r="B71" s="417" t="s">
        <v>783</v>
      </c>
      <c r="C71" s="366">
        <v>1.8651851851851853</v>
      </c>
      <c r="D71" s="386" t="str">
        <f ca="true">IFERROR(AVERAGE(INDIRECT("G"&amp;ROW()&amp;":Z"&amp;ROW())),"")</f>
      </c>
      <c r="E71" s="378" t="str">
        <f ca="true">IF(C71&gt;0,IFERROR((C71-D71),""),"")</f>
      </c>
      <c r="F71" s="320" t="str">
        <f ca="true">IFERROR(E71/D71,"")</f>
      </c>
      <c r="G71" s="401">
        <v>2.0809014831386197</v>
      </c>
      <c r="H71" s="401">
        <v>1.483367918002892</v>
      </c>
      <c r="I71" s="401">
        <v>1.9393530997304584</v>
      </c>
      <c r="J71" s="401">
        <v>1.4989789133738605</v>
      </c>
      <c r="K71" s="401">
        <v>1.630859375</v>
      </c>
      <c r="L71" s="401"/>
      <c r="M71" s="401"/>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v>1.8651851851851853</v>
      </c>
      <c r="D73" s="386" t="str">
        <f ca="true">IFERROR(AVERAGE(INDIRECT("G"&amp;ROW()&amp;":Z"&amp;ROW())),"")</f>
      </c>
      <c r="E73" s="378" t="str">
        <f ca="true">IF(C73&gt;0,IFERROR((C73-D73),""),"")</f>
      </c>
      <c r="F73" s="320" t="str">
        <f ca="true">IFERROR(E73/D73,"")</f>
      </c>
      <c r="G73" s="401">
        <v>2.09944909363751</v>
      </c>
      <c r="H73" s="401">
        <v>1.382824344812649</v>
      </c>
      <c r="I73" s="401">
        <v>1.9326145552560647</v>
      </c>
      <c r="J73" s="401">
        <v>1.4497407834101383</v>
      </c>
      <c r="K73" s="401">
        <v>1.595982142857143</v>
      </c>
      <c r="L73" s="401"/>
      <c r="M73" s="401"/>
      <c r="N73" s="6"/>
      <c r="O73" s="6"/>
      <c r="P73" s="6"/>
      <c r="Q73" s="6"/>
      <c r="R73" s="6"/>
      <c r="S73" s="6"/>
      <c r="T73" s="6"/>
      <c r="U73" s="6"/>
      <c r="V73" s="6"/>
      <c r="W73" s="6"/>
      <c r="X73" s="6"/>
      <c r="Y73" s="6"/>
      <c r="Z73" s="6"/>
    </row>
    <row r="74" spans="2:26" s="139" customFormat="true">
      <c r="B74" s="417" t="s">
        <v>782</v>
      </c>
      <c r="C74" s="366">
        <v>1.8651851851851853</v>
      </c>
      <c r="D74" s="386" t="str">
        <f ca="true">IFERROR(AVERAGE(INDIRECT("G"&amp;ROW()&amp;":Z"&amp;ROW())),"")</f>
      </c>
      <c r="E74" s="378" t="str">
        <f ca="true">IF(C74&gt;0,IFERROR((C74-D74),""),"")</f>
      </c>
      <c r="F74" s="320" t="str">
        <f ca="true">IFERROR(E74/D74,"")</f>
      </c>
      <c r="G74" s="401">
        <v>2.079681999443371</v>
      </c>
      <c r="H74" s="401">
        <v>1.4079643553327765</v>
      </c>
      <c r="I74" s="401">
        <v>1.933737646001797</v>
      </c>
      <c r="J74" s="401">
        <v>1.4730139652014653</v>
      </c>
      <c r="K74" s="401">
        <v>1.6050502232142858</v>
      </c>
      <c r="L74" s="401"/>
      <c r="M74" s="401"/>
      <c r="N74" s="6"/>
      <c r="O74" s="6"/>
      <c r="P74" s="6"/>
      <c r="Q74" s="6"/>
      <c r="R74" s="6"/>
      <c r="S74" s="6"/>
      <c r="T74" s="6"/>
      <c r="U74" s="6"/>
      <c r="V74" s="6"/>
      <c r="W74" s="6"/>
      <c r="X74" s="6"/>
      <c r="Y74" s="6"/>
      <c r="Z74" s="6"/>
    </row>
    <row r="75" spans="2:26" s="139" customFormat="true">
      <c r="B75" s="417" t="s">
        <v>783</v>
      </c>
      <c r="C75" s="366">
        <v>1.8651851851851853</v>
      </c>
      <c r="D75" s="386" t="str">
        <f ca="true">IFERROR(AVERAGE(INDIRECT("G"&amp;ROW()&amp;":Z"&amp;ROW())),"")</f>
      </c>
      <c r="E75" s="378" t="str">
        <f ca="true">IF(C75&gt;0,IFERROR((C75-D75),""),"")</f>
      </c>
      <c r="F75" s="320" t="str">
        <f ca="true">IFERROR(E75/D75,"")</f>
      </c>
      <c r="G75" s="401">
        <v>2.0809014831386197</v>
      </c>
      <c r="H75" s="401">
        <v>1.4558888260076712</v>
      </c>
      <c r="I75" s="401">
        <v>1.9393530997304584</v>
      </c>
      <c r="J75" s="401">
        <v>1.4780347644376903</v>
      </c>
      <c r="K75" s="401">
        <v>1.6280691964285714</v>
      </c>
      <c r="L75" s="401"/>
      <c r="M75" s="401"/>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v>1959</v>
      </c>
      <c r="H77" s="399">
        <v>1748.75</v>
      </c>
      <c r="I77" s="399"/>
      <c r="J77" s="399">
        <v>1577.1875</v>
      </c>
      <c r="K77" s="399"/>
      <c r="L77" s="399"/>
      <c r="M77" s="399"/>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v>1959</v>
      </c>
      <c r="H78" s="399">
        <v>1748.1818181818182</v>
      </c>
      <c r="I78" s="399"/>
      <c r="J78" s="399">
        <v>1589.7368421052631</v>
      </c>
      <c r="K78" s="399"/>
      <c r="L78" s="399"/>
      <c r="M78" s="399"/>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v>1922.3333333333333</v>
      </c>
      <c r="H79" s="399">
        <v>1761.0625</v>
      </c>
      <c r="I79" s="399"/>
      <c r="J79" s="399">
        <v>1591.304347826087</v>
      </c>
      <c r="K79" s="399"/>
      <c r="L79" s="399"/>
      <c r="M79" s="399"/>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v>1959</v>
      </c>
      <c r="H81" s="399">
        <v>1715.5</v>
      </c>
      <c r="I81" s="399"/>
      <c r="J81" s="399">
        <v>1558.8125</v>
      </c>
      <c r="K81" s="399"/>
      <c r="L81" s="399"/>
      <c r="M81" s="399"/>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v>1959</v>
      </c>
      <c r="H82" s="399">
        <v>1701.1818181818182</v>
      </c>
      <c r="I82" s="399"/>
      <c r="J82" s="399">
        <v>1574.2631578947369</v>
      </c>
      <c r="K82" s="399"/>
      <c r="L82" s="399"/>
      <c r="M82" s="399"/>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v>1922.3333333333333</v>
      </c>
      <c r="H83" s="399">
        <v>1728.75</v>
      </c>
      <c r="I83" s="399"/>
      <c r="J83" s="399">
        <v>1578.5217391304348</v>
      </c>
      <c r="K83" s="399"/>
      <c r="L83" s="399"/>
      <c r="M83" s="399"/>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v>2.44875</v>
      </c>
      <c r="H85" s="401">
        <v>1.6466572504708095</v>
      </c>
      <c r="I85" s="401"/>
      <c r="J85" s="401">
        <v>1.4496208639705883</v>
      </c>
      <c r="K85" s="401"/>
      <c r="L85" s="401"/>
      <c r="M85" s="401"/>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v>2.44875</v>
      </c>
      <c r="H86" s="401">
        <v>1.646122239342578</v>
      </c>
      <c r="I86" s="401"/>
      <c r="J86" s="401">
        <v>1.461155185758514</v>
      </c>
      <c r="K86" s="401"/>
      <c r="L86" s="401"/>
      <c r="M86" s="401"/>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v>2.4029166666666666</v>
      </c>
      <c r="H87" s="401">
        <v>1.6582509416195856</v>
      </c>
      <c r="I87" s="401"/>
      <c r="J87" s="401">
        <v>1.4625959079283888</v>
      </c>
      <c r="K87" s="401"/>
      <c r="L87" s="401"/>
      <c r="M87" s="401"/>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v>2.44875</v>
      </c>
      <c r="H89" s="401">
        <v>1.6153483992467041</v>
      </c>
      <c r="I89" s="401"/>
      <c r="J89" s="401">
        <v>1.4327320772058825</v>
      </c>
      <c r="K89" s="401"/>
      <c r="L89" s="401"/>
      <c r="M89" s="401"/>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v>2.44875</v>
      </c>
      <c r="H90" s="401">
        <v>1.6018661188152712</v>
      </c>
      <c r="I90" s="401"/>
      <c r="J90" s="401">
        <v>1.4469330495356036</v>
      </c>
      <c r="K90" s="401"/>
      <c r="L90" s="401"/>
      <c r="M90" s="401"/>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v>2.4029166666666666</v>
      </c>
      <c r="H91" s="401">
        <v>1.627824858757062</v>
      </c>
      <c r="I91" s="401"/>
      <c r="J91" s="401">
        <v>1.4508471867007675</v>
      </c>
      <c r="K91" s="401"/>
      <c r="L91" s="401"/>
      <c r="M91" s="401"/>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399"/>
      <c r="L93" s="399"/>
      <c r="M93" s="399"/>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399"/>
      <c r="L94" s="399"/>
      <c r="M94" s="399"/>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399"/>
      <c r="L95" s="399"/>
      <c r="M95" s="399"/>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399"/>
      <c r="L97" s="399"/>
      <c r="M97" s="399"/>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399"/>
      <c r="L98" s="399"/>
      <c r="M98" s="399"/>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411"/>
      <c r="L99" s="411"/>
      <c r="M99" s="411"/>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399"/>
      <c r="L101" s="399"/>
      <c r="M101" s="399"/>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399"/>
      <c r="L102" s="399"/>
      <c r="M102" s="399"/>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399"/>
      <c r="L103" s="399"/>
      <c r="M103" s="399"/>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399"/>
      <c r="L105" s="399"/>
      <c r="M105" s="399"/>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399"/>
      <c r="L106" s="399"/>
      <c r="M106" s="399"/>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411"/>
      <c r="L107" s="411"/>
      <c r="M107" s="411"/>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1242</v>
      </c>
      <c r="D4" s="8" t="s">
        <v>13</v>
      </c>
      <c r="E4" s="10" t="s">
        <v>1322</v>
      </c>
      <c r="F4" s="10"/>
      <c r="G4" s="10">
        <v>1</v>
      </c>
      <c r="H4" s="10">
        <v>1</v>
      </c>
      <c r="I4" s="10"/>
      <c r="J4" s="10">
        <v>500</v>
      </c>
      <c r="K4" s="104">
        <v>45499</v>
      </c>
      <c r="L4" s="104">
        <v>45617</v>
      </c>
      <c r="M4" s="10" t="b">
        <v>0</v>
      </c>
      <c r="N4" s="10">
        <v>119</v>
      </c>
      <c r="O4" s="11">
        <v>1159</v>
      </c>
      <c r="P4" s="85">
        <v>2.318</v>
      </c>
      <c r="Q4" s="11">
        <v>1159</v>
      </c>
      <c r="R4" s="85">
        <v>2.318</v>
      </c>
      <c r="S4" s="29" t="s">
        <v>1998</v>
      </c>
      <c r="T4" s="29" t="s">
        <v>2030</v>
      </c>
    </row>
    <row r="5">
      <c r="B5" s="29" t="s">
        <v>1216</v>
      </c>
      <c r="C5" s="29" t="s">
        <v>1242</v>
      </c>
      <c r="D5" s="8" t="s">
        <v>13</v>
      </c>
      <c r="E5" s="10" t="s">
        <v>1323</v>
      </c>
      <c r="F5" s="10"/>
      <c r="G5" s="10">
        <v>1</v>
      </c>
      <c r="H5" s="10">
        <v>1</v>
      </c>
      <c r="I5" s="10"/>
      <c r="J5" s="10">
        <v>500</v>
      </c>
      <c r="K5" s="104">
        <v>45770</v>
      </c>
      <c r="L5" s="104"/>
      <c r="M5" s="10" t="b">
        <v>1</v>
      </c>
      <c r="N5" s="10"/>
      <c r="O5" s="11">
        <v>1199</v>
      </c>
      <c r="P5" s="85">
        <v>2.398</v>
      </c>
      <c r="Q5" s="11">
        <v>1199</v>
      </c>
      <c r="R5" s="85">
        <v>2.398</v>
      </c>
      <c r="S5" s="29" t="s">
        <v>1998</v>
      </c>
      <c r="T5" s="29" t="s">
        <v>2030</v>
      </c>
    </row>
    <row r="6">
      <c r="B6" s="29" t="s">
        <v>1216</v>
      </c>
      <c r="C6" s="29" t="s">
        <v>1242</v>
      </c>
      <c r="D6" s="8" t="s">
        <v>13</v>
      </c>
      <c r="E6" s="10" t="s">
        <v>1324</v>
      </c>
      <c r="F6" s="10"/>
      <c r="G6" s="10">
        <v>1</v>
      </c>
      <c r="H6" s="10">
        <v>1</v>
      </c>
      <c r="I6" s="10"/>
      <c r="J6" s="10">
        <v>500</v>
      </c>
      <c r="K6" s="104">
        <v>45442</v>
      </c>
      <c r="L6" s="104">
        <v>45505</v>
      </c>
      <c r="M6" s="10" t="b">
        <v>0</v>
      </c>
      <c r="N6" s="10">
        <v>64</v>
      </c>
      <c r="O6" s="11">
        <v>1274</v>
      </c>
      <c r="P6" s="85">
        <v>2.548</v>
      </c>
      <c r="Q6" s="11">
        <v>1274</v>
      </c>
      <c r="R6" s="85">
        <v>2.548</v>
      </c>
      <c r="S6" s="29" t="s">
        <v>1998</v>
      </c>
      <c r="T6" s="29" t="s">
        <v>2030</v>
      </c>
    </row>
    <row r="7">
      <c r="B7" s="29" t="s">
        <v>1216</v>
      </c>
      <c r="C7" s="29" t="s">
        <v>1242</v>
      </c>
      <c r="D7" s="8" t="s">
        <v>13</v>
      </c>
      <c r="E7" s="10" t="s">
        <v>1325</v>
      </c>
      <c r="F7" s="10"/>
      <c r="G7" s="10">
        <v>1</v>
      </c>
      <c r="H7" s="10">
        <v>1</v>
      </c>
      <c r="I7" s="10"/>
      <c r="J7" s="10">
        <v>500</v>
      </c>
      <c r="K7" s="104">
        <v>45634</v>
      </c>
      <c r="L7" s="104">
        <v>45692</v>
      </c>
      <c r="M7" s="10" t="b">
        <v>0</v>
      </c>
      <c r="N7" s="10">
        <v>59</v>
      </c>
      <c r="O7" s="11">
        <v>1419</v>
      </c>
      <c r="P7" s="85">
        <v>2.838</v>
      </c>
      <c r="Q7" s="11">
        <v>1419</v>
      </c>
      <c r="R7" s="85">
        <v>2.838</v>
      </c>
      <c r="S7" s="29" t="s">
        <v>1998</v>
      </c>
      <c r="T7" s="29" t="s">
        <v>2030</v>
      </c>
    </row>
    <row r="8">
      <c r="B8" s="29" t="s">
        <v>1216</v>
      </c>
      <c r="C8" s="29" t="s">
        <v>1242</v>
      </c>
      <c r="D8" s="8" t="s">
        <v>1250</v>
      </c>
      <c r="E8" s="10" t="s">
        <v>1326</v>
      </c>
      <c r="F8" s="10"/>
      <c r="G8" s="10">
        <v>1</v>
      </c>
      <c r="H8" s="10">
        <v>1</v>
      </c>
      <c r="I8" s="10"/>
      <c r="J8" s="10">
        <v>556</v>
      </c>
      <c r="K8" s="104">
        <v>45710</v>
      </c>
      <c r="L8" s="104">
        <v>45723</v>
      </c>
      <c r="M8" s="10" t="b">
        <v>0</v>
      </c>
      <c r="N8" s="10">
        <v>14</v>
      </c>
      <c r="O8" s="11">
        <v>1199</v>
      </c>
      <c r="P8" s="85">
        <v>2.156474820143885</v>
      </c>
      <c r="Q8" s="11">
        <v>1199</v>
      </c>
      <c r="R8" s="85">
        <v>2.156474820143885</v>
      </c>
      <c r="S8" s="29" t="s">
        <v>1998</v>
      </c>
      <c r="T8" s="29" t="s">
        <v>2030</v>
      </c>
    </row>
    <row r="9">
      <c r="B9" s="29" t="s">
        <v>1216</v>
      </c>
      <c r="C9" s="29" t="s">
        <v>1242</v>
      </c>
      <c r="D9" s="8" t="s">
        <v>1250</v>
      </c>
      <c r="E9" s="10" t="s">
        <v>1327</v>
      </c>
      <c r="F9" s="10"/>
      <c r="G9" s="10">
        <v>1</v>
      </c>
      <c r="H9" s="10">
        <v>1</v>
      </c>
      <c r="I9" s="10"/>
      <c r="J9" s="10">
        <v>556</v>
      </c>
      <c r="K9" s="104">
        <v>45100</v>
      </c>
      <c r="L9" s="104">
        <v>45252</v>
      </c>
      <c r="M9" s="10" t="b">
        <v>0</v>
      </c>
      <c r="N9" s="10">
        <v>153</v>
      </c>
      <c r="O9" s="11">
        <v>1199</v>
      </c>
      <c r="P9" s="85">
        <v>2.156474820143885</v>
      </c>
      <c r="Q9" s="11">
        <v>1199</v>
      </c>
      <c r="R9" s="85">
        <v>2.156474820143885</v>
      </c>
      <c r="S9" s="29" t="s">
        <v>1998</v>
      </c>
      <c r="T9" s="29" t="s">
        <v>1998</v>
      </c>
    </row>
    <row r="10">
      <c r="B10" s="29" t="s">
        <v>1216</v>
      </c>
      <c r="C10" s="29" t="s">
        <v>1242</v>
      </c>
      <c r="D10" s="8" t="s">
        <v>1250</v>
      </c>
      <c r="E10" s="10" t="s">
        <v>1328</v>
      </c>
      <c r="F10" s="10"/>
      <c r="G10" s="10">
        <v>1</v>
      </c>
      <c r="H10" s="10">
        <v>1</v>
      </c>
      <c r="I10" s="10"/>
      <c r="J10" s="10">
        <v>556</v>
      </c>
      <c r="K10" s="104">
        <v>45533</v>
      </c>
      <c r="L10" s="104">
        <v>45773</v>
      </c>
      <c r="M10" s="10" t="b">
        <v>0</v>
      </c>
      <c r="N10" s="10">
        <v>241</v>
      </c>
      <c r="O10" s="11">
        <v>1239</v>
      </c>
      <c r="P10" s="85">
        <v>2.2284172661870505</v>
      </c>
      <c r="Q10" s="11">
        <v>1239</v>
      </c>
      <c r="R10" s="85">
        <v>2.2284172661870505</v>
      </c>
      <c r="S10" s="29" t="s">
        <v>1998</v>
      </c>
      <c r="T10" s="29" t="s">
        <v>2030</v>
      </c>
    </row>
    <row r="11">
      <c r="B11" s="29" t="s">
        <v>1216</v>
      </c>
      <c r="C11" s="29" t="s">
        <v>1242</v>
      </c>
      <c r="D11" s="8" t="s">
        <v>1250</v>
      </c>
      <c r="E11" s="10" t="s">
        <v>1329</v>
      </c>
      <c r="F11" s="10"/>
      <c r="G11" s="10">
        <v>1</v>
      </c>
      <c r="H11" s="10">
        <v>1</v>
      </c>
      <c r="I11" s="10"/>
      <c r="J11" s="10">
        <v>556</v>
      </c>
      <c r="K11" s="104">
        <v>45489</v>
      </c>
      <c r="L11" s="104">
        <v>45755</v>
      </c>
      <c r="M11" s="10" t="b">
        <v>0</v>
      </c>
      <c r="N11" s="10">
        <v>267</v>
      </c>
      <c r="O11" s="11">
        <v>1249</v>
      </c>
      <c r="P11" s="85">
        <v>2.2464028776978417</v>
      </c>
      <c r="Q11" s="11">
        <v>1249</v>
      </c>
      <c r="R11" s="85">
        <v>2.2464028776978417</v>
      </c>
      <c r="S11" s="29" t="s">
        <v>1998</v>
      </c>
      <c r="T11" s="29" t="s">
        <v>2030</v>
      </c>
    </row>
    <row r="12">
      <c r="B12" s="29" t="s">
        <v>1216</v>
      </c>
      <c r="C12" s="29" t="s">
        <v>1242</v>
      </c>
      <c r="D12" s="8" t="s">
        <v>1250</v>
      </c>
      <c r="E12" s="10" t="s">
        <v>1330</v>
      </c>
      <c r="F12" s="10"/>
      <c r="G12" s="10">
        <v>1</v>
      </c>
      <c r="H12" s="10">
        <v>1</v>
      </c>
      <c r="I12" s="10"/>
      <c r="J12" s="10">
        <v>556</v>
      </c>
      <c r="K12" s="104">
        <v>45379</v>
      </c>
      <c r="L12" s="104">
        <v>45734</v>
      </c>
      <c r="M12" s="10" t="b">
        <v>0</v>
      </c>
      <c r="N12" s="10">
        <v>356</v>
      </c>
      <c r="O12" s="11">
        <v>1259</v>
      </c>
      <c r="P12" s="85">
        <v>2.264388489208633</v>
      </c>
      <c r="Q12" s="11">
        <v>1259</v>
      </c>
      <c r="R12" s="85">
        <v>2.264388489208633</v>
      </c>
      <c r="S12" s="29" t="s">
        <v>1998</v>
      </c>
      <c r="T12" s="29" t="s">
        <v>2030</v>
      </c>
    </row>
    <row r="13">
      <c r="B13" s="29" t="s">
        <v>1216</v>
      </c>
      <c r="C13" s="29" t="s">
        <v>1242</v>
      </c>
      <c r="D13" s="8" t="s">
        <v>1250</v>
      </c>
      <c r="E13" s="10" t="s">
        <v>1331</v>
      </c>
      <c r="F13" s="10"/>
      <c r="G13" s="10">
        <v>1</v>
      </c>
      <c r="H13" s="10">
        <v>1</v>
      </c>
      <c r="I13" s="10"/>
      <c r="J13" s="10">
        <v>556</v>
      </c>
      <c r="K13" s="104">
        <v>45358</v>
      </c>
      <c r="L13" s="104">
        <v>45497</v>
      </c>
      <c r="M13" s="10" t="b">
        <v>0</v>
      </c>
      <c r="N13" s="10">
        <v>140</v>
      </c>
      <c r="O13" s="11">
        <v>1259</v>
      </c>
      <c r="P13" s="85">
        <v>2.264388489208633</v>
      </c>
      <c r="Q13" s="11">
        <v>1259</v>
      </c>
      <c r="R13" s="85">
        <v>2.264388489208633</v>
      </c>
      <c r="S13" s="29" t="s">
        <v>1998</v>
      </c>
      <c r="T13" s="29" t="s">
        <v>2030</v>
      </c>
    </row>
    <row r="14">
      <c r="B14" s="29" t="s">
        <v>1216</v>
      </c>
      <c r="C14" s="29" t="s">
        <v>1242</v>
      </c>
      <c r="D14" s="8" t="s">
        <v>1250</v>
      </c>
      <c r="E14" s="10" t="s">
        <v>1332</v>
      </c>
      <c r="F14" s="10"/>
      <c r="G14" s="10">
        <v>1</v>
      </c>
      <c r="H14" s="10">
        <v>1</v>
      </c>
      <c r="I14" s="10"/>
      <c r="J14" s="10">
        <v>556</v>
      </c>
      <c r="K14" s="104">
        <v>45297</v>
      </c>
      <c r="L14" s="104">
        <v>45574</v>
      </c>
      <c r="M14" s="10" t="b">
        <v>0</v>
      </c>
      <c r="N14" s="10">
        <v>278</v>
      </c>
      <c r="O14" s="11">
        <v>1269</v>
      </c>
      <c r="P14" s="85">
        <v>2.2823741007194243</v>
      </c>
      <c r="Q14" s="11">
        <v>1269</v>
      </c>
      <c r="R14" s="85">
        <v>2.2823741007194243</v>
      </c>
      <c r="S14" s="29" t="s">
        <v>1998</v>
      </c>
      <c r="T14" s="29" t="s">
        <v>2030</v>
      </c>
    </row>
    <row r="15">
      <c r="B15" s="29" t="s">
        <v>1216</v>
      </c>
      <c r="C15" s="29" t="s">
        <v>1242</v>
      </c>
      <c r="D15" s="8" t="s">
        <v>1250</v>
      </c>
      <c r="E15" s="10" t="s">
        <v>1333</v>
      </c>
      <c r="F15" s="10"/>
      <c r="G15" s="10">
        <v>1</v>
      </c>
      <c r="H15" s="10">
        <v>1</v>
      </c>
      <c r="I15" s="10"/>
      <c r="J15" s="10">
        <v>556</v>
      </c>
      <c r="K15" s="104">
        <v>45297</v>
      </c>
      <c r="L15" s="104">
        <v>45452</v>
      </c>
      <c r="M15" s="10" t="b">
        <v>0</v>
      </c>
      <c r="N15" s="10">
        <v>156</v>
      </c>
      <c r="O15" s="11">
        <v>1269</v>
      </c>
      <c r="P15" s="85">
        <v>2.2823741007194243</v>
      </c>
      <c r="Q15" s="11">
        <v>1269</v>
      </c>
      <c r="R15" s="85">
        <v>2.2823741007194243</v>
      </c>
      <c r="S15" s="29" t="s">
        <v>1998</v>
      </c>
      <c r="T15" s="29" t="s">
        <v>2030</v>
      </c>
    </row>
    <row r="16">
      <c r="B16" s="29" t="s">
        <v>1216</v>
      </c>
      <c r="C16" s="29" t="s">
        <v>1242</v>
      </c>
      <c r="D16" s="8" t="s">
        <v>1250</v>
      </c>
      <c r="E16" s="10" t="s">
        <v>1334</v>
      </c>
      <c r="F16" s="10"/>
      <c r="G16" s="10">
        <v>1</v>
      </c>
      <c r="H16" s="10">
        <v>1</v>
      </c>
      <c r="I16" s="10"/>
      <c r="J16" s="10">
        <v>556</v>
      </c>
      <c r="K16" s="104">
        <v>45764</v>
      </c>
      <c r="L16" s="104"/>
      <c r="M16" s="10" t="b">
        <v>1</v>
      </c>
      <c r="N16" s="10"/>
      <c r="O16" s="11">
        <v>1359</v>
      </c>
      <c r="P16" s="85">
        <v>2.444244604316547</v>
      </c>
      <c r="Q16" s="11">
        <v>1359</v>
      </c>
      <c r="R16" s="85">
        <v>2.444244604316547</v>
      </c>
      <c r="S16" s="29" t="s">
        <v>1998</v>
      </c>
      <c r="T16" s="29" t="s">
        <v>2030</v>
      </c>
    </row>
    <row r="17">
      <c r="B17" s="29" t="s">
        <v>1216</v>
      </c>
      <c r="C17" s="29" t="s">
        <v>1242</v>
      </c>
      <c r="D17" s="8" t="s">
        <v>1251</v>
      </c>
      <c r="E17" s="10" t="s">
        <v>1335</v>
      </c>
      <c r="F17" s="10"/>
      <c r="G17" s="10">
        <v>1</v>
      </c>
      <c r="H17" s="10">
        <v>1</v>
      </c>
      <c r="I17" s="10"/>
      <c r="J17" s="10">
        <v>629</v>
      </c>
      <c r="K17" s="104">
        <v>45295</v>
      </c>
      <c r="L17" s="104">
        <v>45408</v>
      </c>
      <c r="M17" s="10" t="b">
        <v>0</v>
      </c>
      <c r="N17" s="10">
        <v>114</v>
      </c>
      <c r="O17" s="11">
        <v>1289</v>
      </c>
      <c r="P17" s="85">
        <v>2.0492845786963434</v>
      </c>
      <c r="Q17" s="11">
        <v>1289</v>
      </c>
      <c r="R17" s="85">
        <v>2.0492845786963434</v>
      </c>
      <c r="S17" s="29" t="s">
        <v>1998</v>
      </c>
      <c r="T17" s="29" t="s">
        <v>2030</v>
      </c>
    </row>
    <row r="18">
      <c r="B18" s="29" t="s">
        <v>1216</v>
      </c>
      <c r="C18" s="29" t="s">
        <v>1242</v>
      </c>
      <c r="D18" s="8" t="s">
        <v>1251</v>
      </c>
      <c r="E18" s="10" t="s">
        <v>1336</v>
      </c>
      <c r="F18" s="10"/>
      <c r="G18" s="10">
        <v>1</v>
      </c>
      <c r="H18" s="10">
        <v>1</v>
      </c>
      <c r="I18" s="10"/>
      <c r="J18" s="10">
        <v>629</v>
      </c>
      <c r="K18" s="104">
        <v>45774</v>
      </c>
      <c r="L18" s="104">
        <v>45776</v>
      </c>
      <c r="M18" s="10" t="b">
        <v>0</v>
      </c>
      <c r="N18" s="10">
        <v>3</v>
      </c>
      <c r="O18" s="11">
        <v>1299</v>
      </c>
      <c r="P18" s="85">
        <v>2.065182829888712</v>
      </c>
      <c r="Q18" s="11">
        <v>1299</v>
      </c>
      <c r="R18" s="85">
        <v>2.065182829888712</v>
      </c>
      <c r="S18" s="29" t="s">
        <v>1998</v>
      </c>
      <c r="T18" s="29" t="s">
        <v>2030</v>
      </c>
    </row>
    <row r="19">
      <c r="B19" s="29" t="s">
        <v>1216</v>
      </c>
      <c r="C19" s="29" t="s">
        <v>1242</v>
      </c>
      <c r="D19" s="8" t="s">
        <v>1251</v>
      </c>
      <c r="E19" s="10" t="s">
        <v>1337</v>
      </c>
      <c r="F19" s="10"/>
      <c r="G19" s="10">
        <v>1</v>
      </c>
      <c r="H19" s="10">
        <v>1</v>
      </c>
      <c r="I19" s="10"/>
      <c r="J19" s="10">
        <v>629</v>
      </c>
      <c r="K19" s="104"/>
      <c r="L19" s="104">
        <v>45288</v>
      </c>
      <c r="M19" s="10" t="b">
        <v>0</v>
      </c>
      <c r="N19" s="10"/>
      <c r="O19" s="11">
        <v>1299</v>
      </c>
      <c r="P19" s="85">
        <v>2.065182829888712</v>
      </c>
      <c r="Q19" s="11">
        <v>1299</v>
      </c>
      <c r="R19" s="85">
        <v>2.065182829888712</v>
      </c>
      <c r="S19" s="29" t="s">
        <v>1998</v>
      </c>
      <c r="T19" s="29" t="s">
        <v>1998</v>
      </c>
    </row>
    <row r="20">
      <c r="B20" s="29" t="s">
        <v>1216</v>
      </c>
      <c r="C20" s="29" t="s">
        <v>1242</v>
      </c>
      <c r="D20" s="8" t="s">
        <v>1251</v>
      </c>
      <c r="E20" s="10" t="s">
        <v>1338</v>
      </c>
      <c r="F20" s="10"/>
      <c r="G20" s="10">
        <v>1</v>
      </c>
      <c r="H20" s="10">
        <v>1</v>
      </c>
      <c r="I20" s="10"/>
      <c r="J20" s="10">
        <v>629</v>
      </c>
      <c r="K20" s="104">
        <v>45288</v>
      </c>
      <c r="L20" s="104">
        <v>45441</v>
      </c>
      <c r="M20" s="10" t="b">
        <v>0</v>
      </c>
      <c r="N20" s="10">
        <v>154</v>
      </c>
      <c r="O20" s="11">
        <v>1319</v>
      </c>
      <c r="P20" s="85">
        <v>2.09697933227345</v>
      </c>
      <c r="Q20" s="11">
        <v>1319</v>
      </c>
      <c r="R20" s="85">
        <v>2.09697933227345</v>
      </c>
      <c r="S20" s="29" t="s">
        <v>1998</v>
      </c>
      <c r="T20" s="29" t="s">
        <v>2030</v>
      </c>
    </row>
    <row r="21">
      <c r="B21" s="29" t="s">
        <v>1216</v>
      </c>
      <c r="C21" s="29" t="s">
        <v>1242</v>
      </c>
      <c r="D21" s="8" t="s">
        <v>1251</v>
      </c>
      <c r="E21" s="10" t="s">
        <v>1339</v>
      </c>
      <c r="F21" s="10"/>
      <c r="G21" s="10">
        <v>1</v>
      </c>
      <c r="H21" s="10">
        <v>1</v>
      </c>
      <c r="I21" s="10"/>
      <c r="J21" s="10">
        <v>629</v>
      </c>
      <c r="K21" s="104">
        <v>45528</v>
      </c>
      <c r="L21" s="104">
        <v>45587</v>
      </c>
      <c r="M21" s="10" t="b">
        <v>0</v>
      </c>
      <c r="N21" s="10">
        <v>60</v>
      </c>
      <c r="O21" s="11">
        <v>1329</v>
      </c>
      <c r="P21" s="85">
        <v>2.112877583465819</v>
      </c>
      <c r="Q21" s="11">
        <v>1329</v>
      </c>
      <c r="R21" s="85">
        <v>2.112877583465819</v>
      </c>
      <c r="S21" s="29" t="s">
        <v>1998</v>
      </c>
      <c r="T21" s="29" t="s">
        <v>2030</v>
      </c>
    </row>
    <row r="22">
      <c r="B22" s="29" t="s">
        <v>1216</v>
      </c>
      <c r="C22" s="29" t="s">
        <v>1242</v>
      </c>
      <c r="D22" s="8" t="s">
        <v>1251</v>
      </c>
      <c r="E22" s="10" t="s">
        <v>1340</v>
      </c>
      <c r="F22" s="10"/>
      <c r="G22" s="10">
        <v>1</v>
      </c>
      <c r="H22" s="10">
        <v>1</v>
      </c>
      <c r="I22" s="10"/>
      <c r="J22" s="10">
        <v>629</v>
      </c>
      <c r="K22" s="104">
        <v>45183</v>
      </c>
      <c r="L22" s="104">
        <v>45278</v>
      </c>
      <c r="M22" s="10" t="b">
        <v>0</v>
      </c>
      <c r="N22" s="10">
        <v>96</v>
      </c>
      <c r="O22" s="11">
        <v>1329</v>
      </c>
      <c r="P22" s="85">
        <v>2.112877583465819</v>
      </c>
      <c r="Q22" s="11">
        <v>1329</v>
      </c>
      <c r="R22" s="85">
        <v>2.112877583465819</v>
      </c>
      <c r="S22" s="29" t="s">
        <v>1998</v>
      </c>
      <c r="T22" s="29" t="s">
        <v>1998</v>
      </c>
    </row>
    <row r="23">
      <c r="B23" s="29" t="s">
        <v>1216</v>
      </c>
      <c r="C23" s="29" t="s">
        <v>1242</v>
      </c>
      <c r="D23" s="8" t="s">
        <v>1251</v>
      </c>
      <c r="E23" s="10" t="s">
        <v>1341</v>
      </c>
      <c r="F23" s="10"/>
      <c r="G23" s="10">
        <v>1</v>
      </c>
      <c r="H23" s="10">
        <v>1</v>
      </c>
      <c r="I23" s="10"/>
      <c r="J23" s="10">
        <v>629</v>
      </c>
      <c r="K23" s="104"/>
      <c r="L23" s="104">
        <v>45183</v>
      </c>
      <c r="M23" s="10" t="b">
        <v>0</v>
      </c>
      <c r="N23" s="10"/>
      <c r="O23" s="11">
        <v>1329</v>
      </c>
      <c r="P23" s="85">
        <v>2.112877583465819</v>
      </c>
      <c r="Q23" s="11">
        <v>1329</v>
      </c>
      <c r="R23" s="85">
        <v>2.112877583465819</v>
      </c>
      <c r="S23" s="29" t="s">
        <v>1998</v>
      </c>
      <c r="T23" s="29" t="s">
        <v>1998</v>
      </c>
    </row>
    <row r="24">
      <c r="B24" s="29" t="s">
        <v>1216</v>
      </c>
      <c r="C24" s="29" t="s">
        <v>1242</v>
      </c>
      <c r="D24" s="8" t="s">
        <v>1251</v>
      </c>
      <c r="E24" s="10" t="s">
        <v>1342</v>
      </c>
      <c r="F24" s="10"/>
      <c r="G24" s="10">
        <v>1</v>
      </c>
      <c r="H24" s="10">
        <v>1</v>
      </c>
      <c r="I24" s="10"/>
      <c r="J24" s="10">
        <v>629</v>
      </c>
      <c r="K24" s="104">
        <v>45278</v>
      </c>
      <c r="L24" s="104">
        <v>45384</v>
      </c>
      <c r="M24" s="10" t="b">
        <v>0</v>
      </c>
      <c r="N24" s="10">
        <v>107</v>
      </c>
      <c r="O24" s="11">
        <v>1329</v>
      </c>
      <c r="P24" s="85">
        <v>2.112877583465819</v>
      </c>
      <c r="Q24" s="11">
        <v>1329</v>
      </c>
      <c r="R24" s="85">
        <v>2.112877583465819</v>
      </c>
      <c r="S24" s="29" t="s">
        <v>1998</v>
      </c>
      <c r="T24" s="29" t="s">
        <v>2030</v>
      </c>
    </row>
    <row r="25">
      <c r="B25" s="29" t="s">
        <v>1216</v>
      </c>
      <c r="C25" s="29" t="s">
        <v>1242</v>
      </c>
      <c r="D25" s="8" t="s">
        <v>1251</v>
      </c>
      <c r="E25" s="10" t="s">
        <v>1343</v>
      </c>
      <c r="F25" s="10"/>
      <c r="G25" s="10">
        <v>1</v>
      </c>
      <c r="H25" s="10">
        <v>1</v>
      </c>
      <c r="I25" s="10"/>
      <c r="J25" s="10">
        <v>629</v>
      </c>
      <c r="K25" s="104">
        <v>45605</v>
      </c>
      <c r="L25" s="104">
        <v>45761</v>
      </c>
      <c r="M25" s="10" t="b">
        <v>0</v>
      </c>
      <c r="N25" s="10">
        <v>157</v>
      </c>
      <c r="O25" s="11">
        <v>1339</v>
      </c>
      <c r="P25" s="85">
        <v>2.1287758346581875</v>
      </c>
      <c r="Q25" s="11">
        <v>1339</v>
      </c>
      <c r="R25" s="85">
        <v>2.1287758346581875</v>
      </c>
      <c r="S25" s="29" t="s">
        <v>1998</v>
      </c>
      <c r="T25" s="29" t="s">
        <v>2030</v>
      </c>
    </row>
    <row r="26">
      <c r="B26" s="29" t="s">
        <v>1216</v>
      </c>
      <c r="C26" s="29" t="s">
        <v>1242</v>
      </c>
      <c r="D26" s="8" t="s">
        <v>1251</v>
      </c>
      <c r="E26" s="10" t="s">
        <v>1344</v>
      </c>
      <c r="F26" s="10"/>
      <c r="G26" s="10">
        <v>1</v>
      </c>
      <c r="H26" s="10">
        <v>1</v>
      </c>
      <c r="I26" s="10"/>
      <c r="J26" s="10">
        <v>629</v>
      </c>
      <c r="K26" s="104">
        <v>45527</v>
      </c>
      <c r="L26" s="104">
        <v>45611</v>
      </c>
      <c r="M26" s="10" t="b">
        <v>0</v>
      </c>
      <c r="N26" s="10">
        <v>85</v>
      </c>
      <c r="O26" s="11">
        <v>1339</v>
      </c>
      <c r="P26" s="85">
        <v>2.1287758346581875</v>
      </c>
      <c r="Q26" s="11">
        <v>1339</v>
      </c>
      <c r="R26" s="85">
        <v>2.1287758346581875</v>
      </c>
      <c r="S26" s="29" t="s">
        <v>1998</v>
      </c>
      <c r="T26" s="29" t="s">
        <v>2030</v>
      </c>
    </row>
    <row r="27">
      <c r="B27" s="29" t="s">
        <v>1216</v>
      </c>
      <c r="C27" s="29" t="s">
        <v>1242</v>
      </c>
      <c r="D27" s="8" t="s">
        <v>1251</v>
      </c>
      <c r="E27" s="10" t="s">
        <v>1345</v>
      </c>
      <c r="F27" s="10"/>
      <c r="G27" s="10">
        <v>1</v>
      </c>
      <c r="H27" s="10">
        <v>1</v>
      </c>
      <c r="I27" s="10"/>
      <c r="J27" s="10">
        <v>629</v>
      </c>
      <c r="K27" s="104">
        <v>45771</v>
      </c>
      <c r="L27" s="104"/>
      <c r="M27" s="10" t="b">
        <v>1</v>
      </c>
      <c r="N27" s="10"/>
      <c r="O27" s="11">
        <v>1339</v>
      </c>
      <c r="P27" s="85">
        <v>2.1287758346581875</v>
      </c>
      <c r="Q27" s="11">
        <v>1339</v>
      </c>
      <c r="R27" s="85">
        <v>2.1287758346581875</v>
      </c>
      <c r="S27" s="29" t="s">
        <v>1998</v>
      </c>
      <c r="T27" s="29" t="s">
        <v>2030</v>
      </c>
    </row>
    <row r="28">
      <c r="B28" s="29" t="s">
        <v>1216</v>
      </c>
      <c r="C28" s="29" t="s">
        <v>1242</v>
      </c>
      <c r="D28" s="8" t="s">
        <v>1251</v>
      </c>
      <c r="E28" s="10" t="s">
        <v>1346</v>
      </c>
      <c r="F28" s="10"/>
      <c r="G28" s="10">
        <v>1</v>
      </c>
      <c r="H28" s="10">
        <v>1</v>
      </c>
      <c r="I28" s="10"/>
      <c r="J28" s="10">
        <v>629</v>
      </c>
      <c r="K28" s="104">
        <v>45496</v>
      </c>
      <c r="L28" s="104">
        <v>45500</v>
      </c>
      <c r="M28" s="10" t="b">
        <v>0</v>
      </c>
      <c r="N28" s="10">
        <v>5</v>
      </c>
      <c r="O28" s="11">
        <v>1339</v>
      </c>
      <c r="P28" s="85">
        <v>2.1287758346581875</v>
      </c>
      <c r="Q28" s="11">
        <v>1339</v>
      </c>
      <c r="R28" s="85">
        <v>2.1287758346581875</v>
      </c>
      <c r="S28" s="29" t="s">
        <v>1998</v>
      </c>
      <c r="T28" s="29" t="s">
        <v>2030</v>
      </c>
    </row>
    <row r="29">
      <c r="B29" s="29" t="s">
        <v>1216</v>
      </c>
      <c r="C29" s="29" t="s">
        <v>1242</v>
      </c>
      <c r="D29" s="8" t="s">
        <v>1251</v>
      </c>
      <c r="E29" s="10" t="s">
        <v>1347</v>
      </c>
      <c r="F29" s="10"/>
      <c r="G29" s="10">
        <v>1</v>
      </c>
      <c r="H29" s="10">
        <v>1</v>
      </c>
      <c r="I29" s="10"/>
      <c r="J29" s="10">
        <v>629</v>
      </c>
      <c r="K29" s="104">
        <v>45563</v>
      </c>
      <c r="L29" s="104">
        <v>45629</v>
      </c>
      <c r="M29" s="10" t="b">
        <v>0</v>
      </c>
      <c r="N29" s="10">
        <v>67</v>
      </c>
      <c r="O29" s="11">
        <v>1349</v>
      </c>
      <c r="P29" s="85">
        <v>2.1446740858505566</v>
      </c>
      <c r="Q29" s="11">
        <v>1349</v>
      </c>
      <c r="R29" s="85">
        <v>2.1446740858505566</v>
      </c>
      <c r="S29" s="29" t="s">
        <v>1998</v>
      </c>
      <c r="T29" s="29" t="s">
        <v>2030</v>
      </c>
    </row>
    <row r="30">
      <c r="B30" s="29" t="s">
        <v>1216</v>
      </c>
      <c r="C30" s="29" t="s">
        <v>1242</v>
      </c>
      <c r="D30" s="8" t="s">
        <v>1251</v>
      </c>
      <c r="E30" s="10" t="s">
        <v>1348</v>
      </c>
      <c r="F30" s="10"/>
      <c r="G30" s="10">
        <v>1</v>
      </c>
      <c r="H30" s="10">
        <v>1</v>
      </c>
      <c r="I30" s="10"/>
      <c r="J30" s="10">
        <v>629</v>
      </c>
      <c r="K30" s="104">
        <v>45450</v>
      </c>
      <c r="L30" s="104">
        <v>45549</v>
      </c>
      <c r="M30" s="10" t="b">
        <v>0</v>
      </c>
      <c r="N30" s="10">
        <v>100</v>
      </c>
      <c r="O30" s="11">
        <v>1349</v>
      </c>
      <c r="P30" s="85">
        <v>2.1446740858505566</v>
      </c>
      <c r="Q30" s="11">
        <v>1349</v>
      </c>
      <c r="R30" s="85">
        <v>2.1446740858505566</v>
      </c>
      <c r="S30" s="29" t="s">
        <v>1998</v>
      </c>
      <c r="T30" s="29" t="s">
        <v>2030</v>
      </c>
    </row>
    <row r="31">
      <c r="B31" s="29" t="s">
        <v>1216</v>
      </c>
      <c r="C31" s="29" t="s">
        <v>1242</v>
      </c>
      <c r="D31" s="8" t="s">
        <v>1251</v>
      </c>
      <c r="E31" s="10" t="s">
        <v>1349</v>
      </c>
      <c r="F31" s="10"/>
      <c r="G31" s="10">
        <v>1</v>
      </c>
      <c r="H31" s="10">
        <v>1</v>
      </c>
      <c r="I31" s="10"/>
      <c r="J31" s="10">
        <v>629</v>
      </c>
      <c r="K31" s="104">
        <v>45447</v>
      </c>
      <c r="L31" s="104">
        <v>45496</v>
      </c>
      <c r="M31" s="10" t="b">
        <v>0</v>
      </c>
      <c r="N31" s="10">
        <v>50</v>
      </c>
      <c r="O31" s="11">
        <v>1359</v>
      </c>
      <c r="P31" s="85">
        <v>2.1605723370429253</v>
      </c>
      <c r="Q31" s="11">
        <v>1359</v>
      </c>
      <c r="R31" s="85">
        <v>2.1605723370429253</v>
      </c>
      <c r="S31" s="29" t="s">
        <v>1998</v>
      </c>
      <c r="T31" s="29" t="s">
        <v>2030</v>
      </c>
    </row>
    <row r="32">
      <c r="B32" s="29" t="s">
        <v>1216</v>
      </c>
      <c r="C32" s="29" t="s">
        <v>1242</v>
      </c>
      <c r="D32" s="8" t="s">
        <v>1251</v>
      </c>
      <c r="E32" s="10" t="s">
        <v>1350</v>
      </c>
      <c r="F32" s="10"/>
      <c r="G32" s="10">
        <v>1</v>
      </c>
      <c r="H32" s="10">
        <v>1</v>
      </c>
      <c r="I32" s="10"/>
      <c r="J32" s="10">
        <v>629</v>
      </c>
      <c r="K32" s="104">
        <v>45743</v>
      </c>
      <c r="L32" s="104"/>
      <c r="M32" s="10" t="b">
        <v>1</v>
      </c>
      <c r="N32" s="10"/>
      <c r="O32" s="11">
        <v>1359</v>
      </c>
      <c r="P32" s="85">
        <v>2.1605723370429253</v>
      </c>
      <c r="Q32" s="11">
        <v>1359</v>
      </c>
      <c r="R32" s="85">
        <v>2.1605723370429253</v>
      </c>
      <c r="S32" s="29" t="s">
        <v>1998</v>
      </c>
      <c r="T32" s="29" t="s">
        <v>2030</v>
      </c>
    </row>
    <row r="33">
      <c r="B33" s="29" t="s">
        <v>1216</v>
      </c>
      <c r="C33" s="29" t="s">
        <v>1242</v>
      </c>
      <c r="D33" s="8" t="s">
        <v>1251</v>
      </c>
      <c r="E33" s="10" t="s">
        <v>1351</v>
      </c>
      <c r="F33" s="10"/>
      <c r="G33" s="10">
        <v>1</v>
      </c>
      <c r="H33" s="10">
        <v>1</v>
      </c>
      <c r="I33" s="10"/>
      <c r="J33" s="10">
        <v>629</v>
      </c>
      <c r="K33" s="104">
        <v>45518</v>
      </c>
      <c r="L33" s="104">
        <v>45559</v>
      </c>
      <c r="M33" s="10" t="b">
        <v>0</v>
      </c>
      <c r="N33" s="10">
        <v>42</v>
      </c>
      <c r="O33" s="11">
        <v>1369</v>
      </c>
      <c r="P33" s="85">
        <v>2.176470588235294</v>
      </c>
      <c r="Q33" s="11">
        <v>1369</v>
      </c>
      <c r="R33" s="85">
        <v>2.176470588235294</v>
      </c>
      <c r="S33" s="29" t="s">
        <v>1998</v>
      </c>
      <c r="T33" s="29" t="s">
        <v>2030</v>
      </c>
    </row>
    <row r="34">
      <c r="B34" s="29" t="s">
        <v>1216</v>
      </c>
      <c r="C34" s="29" t="s">
        <v>1242</v>
      </c>
      <c r="D34" s="8" t="s">
        <v>1251</v>
      </c>
      <c r="E34" s="10" t="s">
        <v>1352</v>
      </c>
      <c r="F34" s="10"/>
      <c r="G34" s="10">
        <v>1</v>
      </c>
      <c r="H34" s="10">
        <v>1</v>
      </c>
      <c r="I34" s="10"/>
      <c r="J34" s="10">
        <v>629</v>
      </c>
      <c r="K34" s="104">
        <v>45385</v>
      </c>
      <c r="L34" s="104">
        <v>45470</v>
      </c>
      <c r="M34" s="10" t="b">
        <v>0</v>
      </c>
      <c r="N34" s="10">
        <v>86</v>
      </c>
      <c r="O34" s="11">
        <v>1369</v>
      </c>
      <c r="P34" s="85">
        <v>2.176470588235294</v>
      </c>
      <c r="Q34" s="11">
        <v>1369</v>
      </c>
      <c r="R34" s="85">
        <v>2.176470588235294</v>
      </c>
      <c r="S34" s="29" t="s">
        <v>1998</v>
      </c>
      <c r="T34" s="29" t="s">
        <v>2030</v>
      </c>
    </row>
    <row r="35">
      <c r="B35" s="29" t="s">
        <v>1216</v>
      </c>
      <c r="C35" s="29" t="s">
        <v>1242</v>
      </c>
      <c r="D35" s="8" t="s">
        <v>1251</v>
      </c>
      <c r="E35" s="10" t="s">
        <v>1353</v>
      </c>
      <c r="F35" s="10"/>
      <c r="G35" s="10">
        <v>1</v>
      </c>
      <c r="H35" s="10">
        <v>1</v>
      </c>
      <c r="I35" s="10"/>
      <c r="J35" s="10">
        <v>629</v>
      </c>
      <c r="K35" s="104">
        <v>45658</v>
      </c>
      <c r="L35" s="104">
        <v>45778</v>
      </c>
      <c r="M35" s="10" t="b">
        <v>0</v>
      </c>
      <c r="N35" s="10">
        <v>121</v>
      </c>
      <c r="O35" s="11">
        <v>1369</v>
      </c>
      <c r="P35" s="85">
        <v>2.176470588235294</v>
      </c>
      <c r="Q35" s="11">
        <v>1369</v>
      </c>
      <c r="R35" s="85">
        <v>2.176470588235294</v>
      </c>
      <c r="S35" s="29" t="s">
        <v>1998</v>
      </c>
      <c r="T35" s="29" t="s">
        <v>2030</v>
      </c>
    </row>
    <row r="36">
      <c r="B36" s="29" t="s">
        <v>1216</v>
      </c>
      <c r="C36" s="29" t="s">
        <v>1242</v>
      </c>
      <c r="D36" s="8" t="s">
        <v>1251</v>
      </c>
      <c r="E36" s="10" t="s">
        <v>1354</v>
      </c>
      <c r="F36" s="10"/>
      <c r="G36" s="10">
        <v>1</v>
      </c>
      <c r="H36" s="10">
        <v>1</v>
      </c>
      <c r="I36" s="10"/>
      <c r="J36" s="10">
        <v>629</v>
      </c>
      <c r="K36" s="104">
        <v>45559</v>
      </c>
      <c r="L36" s="104">
        <v>45735</v>
      </c>
      <c r="M36" s="10" t="b">
        <v>0</v>
      </c>
      <c r="N36" s="10">
        <v>177</v>
      </c>
      <c r="O36" s="11">
        <v>1379</v>
      </c>
      <c r="P36" s="85">
        <v>2.192368839427663</v>
      </c>
      <c r="Q36" s="11">
        <v>1379</v>
      </c>
      <c r="R36" s="85">
        <v>2.192368839427663</v>
      </c>
      <c r="S36" s="29" t="s">
        <v>1998</v>
      </c>
      <c r="T36" s="29" t="s">
        <v>2030</v>
      </c>
    </row>
    <row r="37">
      <c r="B37" s="29" t="s">
        <v>1216</v>
      </c>
      <c r="C37" s="29" t="s">
        <v>1242</v>
      </c>
      <c r="D37" s="8" t="s">
        <v>1251</v>
      </c>
      <c r="E37" s="10" t="s">
        <v>1355</v>
      </c>
      <c r="F37" s="10"/>
      <c r="G37" s="10">
        <v>1</v>
      </c>
      <c r="H37" s="10">
        <v>1</v>
      </c>
      <c r="I37" s="10"/>
      <c r="J37" s="10">
        <v>629</v>
      </c>
      <c r="K37" s="104"/>
      <c r="L37" s="104">
        <v>45107</v>
      </c>
      <c r="M37" s="10" t="b">
        <v>0</v>
      </c>
      <c r="N37" s="10"/>
      <c r="O37" s="11">
        <v>1399</v>
      </c>
      <c r="P37" s="85">
        <v>2.2241653418124008</v>
      </c>
      <c r="Q37" s="11">
        <v>1399</v>
      </c>
      <c r="R37" s="85">
        <v>2.2241653418124008</v>
      </c>
      <c r="S37" s="29" t="s">
        <v>1998</v>
      </c>
      <c r="T37" s="29" t="s">
        <v>1998</v>
      </c>
    </row>
    <row r="38">
      <c r="B38" s="29" t="s">
        <v>1216</v>
      </c>
      <c r="C38" s="29" t="s">
        <v>1242</v>
      </c>
      <c r="D38" s="8" t="s">
        <v>1251</v>
      </c>
      <c r="E38" s="10" t="s">
        <v>1356</v>
      </c>
      <c r="F38" s="10"/>
      <c r="G38" s="10">
        <v>1</v>
      </c>
      <c r="H38" s="10">
        <v>1</v>
      </c>
      <c r="I38" s="10"/>
      <c r="J38" s="10">
        <v>629</v>
      </c>
      <c r="K38" s="104">
        <v>45430</v>
      </c>
      <c r="L38" s="104">
        <v>45517</v>
      </c>
      <c r="M38" s="10" t="b">
        <v>0</v>
      </c>
      <c r="N38" s="10">
        <v>88</v>
      </c>
      <c r="O38" s="11">
        <v>1399</v>
      </c>
      <c r="P38" s="85">
        <v>2.2241653418124008</v>
      </c>
      <c r="Q38" s="11">
        <v>1399</v>
      </c>
      <c r="R38" s="85">
        <v>2.2241653418124008</v>
      </c>
      <c r="S38" s="29" t="s">
        <v>1998</v>
      </c>
      <c r="T38" s="29" t="s">
        <v>2030</v>
      </c>
    </row>
    <row r="39">
      <c r="B39" s="29" t="s">
        <v>1216</v>
      </c>
      <c r="C39" s="29" t="s">
        <v>1242</v>
      </c>
      <c r="D39" s="8" t="s">
        <v>1251</v>
      </c>
      <c r="E39" s="10" t="s">
        <v>1357</v>
      </c>
      <c r="F39" s="10"/>
      <c r="G39" s="10">
        <v>1</v>
      </c>
      <c r="H39" s="10">
        <v>1</v>
      </c>
      <c r="I39" s="10"/>
      <c r="J39" s="10">
        <v>629</v>
      </c>
      <c r="K39" s="104">
        <v>45353</v>
      </c>
      <c r="L39" s="104">
        <v>45454</v>
      </c>
      <c r="M39" s="10" t="b">
        <v>0</v>
      </c>
      <c r="N39" s="10">
        <v>102</v>
      </c>
      <c r="O39" s="11">
        <v>1399</v>
      </c>
      <c r="P39" s="85">
        <v>2.2241653418124008</v>
      </c>
      <c r="Q39" s="11">
        <v>1399</v>
      </c>
      <c r="R39" s="85">
        <v>2.2241653418124008</v>
      </c>
      <c r="S39" s="29" t="s">
        <v>1998</v>
      </c>
      <c r="T39" s="29" t="s">
        <v>2030</v>
      </c>
    </row>
    <row r="40">
      <c r="B40" s="29" t="s">
        <v>1216</v>
      </c>
      <c r="C40" s="29" t="s">
        <v>1242</v>
      </c>
      <c r="D40" s="8" t="s">
        <v>1251</v>
      </c>
      <c r="E40" s="10" t="s">
        <v>1358</v>
      </c>
      <c r="F40" s="10"/>
      <c r="G40" s="10">
        <v>1</v>
      </c>
      <c r="H40" s="10">
        <v>1</v>
      </c>
      <c r="I40" s="10"/>
      <c r="J40" s="10">
        <v>629</v>
      </c>
      <c r="K40" s="104">
        <v>45474</v>
      </c>
      <c r="L40" s="104">
        <v>45475</v>
      </c>
      <c r="M40" s="10" t="b">
        <v>0</v>
      </c>
      <c r="N40" s="10">
        <v>2</v>
      </c>
      <c r="O40" s="11">
        <v>1409</v>
      </c>
      <c r="P40" s="85">
        <v>2.2400635930047694</v>
      </c>
      <c r="Q40" s="11">
        <v>1409</v>
      </c>
      <c r="R40" s="85">
        <v>2.2400635930047694</v>
      </c>
      <c r="S40" s="29" t="s">
        <v>1998</v>
      </c>
      <c r="T40" s="29" t="s">
        <v>2030</v>
      </c>
    </row>
    <row r="41">
      <c r="B41" s="29" t="s">
        <v>1216</v>
      </c>
      <c r="C41" s="29" t="s">
        <v>1242</v>
      </c>
      <c r="D41" s="8" t="s">
        <v>1251</v>
      </c>
      <c r="E41" s="10" t="s">
        <v>1359</v>
      </c>
      <c r="F41" s="10"/>
      <c r="G41" s="10">
        <v>1</v>
      </c>
      <c r="H41" s="10">
        <v>1</v>
      </c>
      <c r="I41" s="10"/>
      <c r="J41" s="10">
        <v>629</v>
      </c>
      <c r="K41" s="104">
        <v>45602</v>
      </c>
      <c r="L41" s="104">
        <v>45743</v>
      </c>
      <c r="M41" s="10" t="b">
        <v>0</v>
      </c>
      <c r="N41" s="10">
        <v>142</v>
      </c>
      <c r="O41" s="11">
        <v>1419</v>
      </c>
      <c r="P41" s="85">
        <v>2.2559618441971385</v>
      </c>
      <c r="Q41" s="11">
        <v>1419</v>
      </c>
      <c r="R41" s="85">
        <v>2.2559618441971385</v>
      </c>
      <c r="S41" s="29" t="s">
        <v>1998</v>
      </c>
      <c r="T41" s="29" t="s">
        <v>2030</v>
      </c>
    </row>
    <row r="42">
      <c r="B42" s="29" t="s">
        <v>1216</v>
      </c>
      <c r="C42" s="29" t="s">
        <v>1242</v>
      </c>
      <c r="D42" s="8" t="s">
        <v>1251</v>
      </c>
      <c r="E42" s="10" t="s">
        <v>1360</v>
      </c>
      <c r="F42" s="10"/>
      <c r="G42" s="10">
        <v>1</v>
      </c>
      <c r="H42" s="10">
        <v>1</v>
      </c>
      <c r="I42" s="10"/>
      <c r="J42" s="10">
        <v>629</v>
      </c>
      <c r="K42" s="104">
        <v>45656</v>
      </c>
      <c r="L42" s="104"/>
      <c r="M42" s="10" t="b">
        <v>1</v>
      </c>
      <c r="N42" s="10"/>
      <c r="O42" s="11">
        <v>1449</v>
      </c>
      <c r="P42" s="85">
        <v>2.303656597774245</v>
      </c>
      <c r="Q42" s="11">
        <v>1449</v>
      </c>
      <c r="R42" s="85">
        <v>2.303656597774245</v>
      </c>
      <c r="S42" s="29" t="s">
        <v>1998</v>
      </c>
      <c r="T42" s="29" t="s">
        <v>2030</v>
      </c>
    </row>
    <row r="43">
      <c r="B43" s="29" t="s">
        <v>1216</v>
      </c>
      <c r="C43" s="29" t="s">
        <v>1242</v>
      </c>
      <c r="D43" s="8" t="s">
        <v>1251</v>
      </c>
      <c r="E43" s="10" t="s">
        <v>1361</v>
      </c>
      <c r="F43" s="10"/>
      <c r="G43" s="10">
        <v>1</v>
      </c>
      <c r="H43" s="10">
        <v>1</v>
      </c>
      <c r="I43" s="10"/>
      <c r="J43" s="10">
        <v>629</v>
      </c>
      <c r="K43" s="104">
        <v>45507</v>
      </c>
      <c r="L43" s="104">
        <v>45528</v>
      </c>
      <c r="M43" s="10" t="b">
        <v>0</v>
      </c>
      <c r="N43" s="10">
        <v>22</v>
      </c>
      <c r="O43" s="11">
        <v>1449</v>
      </c>
      <c r="P43" s="85">
        <v>2.303656597774245</v>
      </c>
      <c r="Q43" s="11">
        <v>1449</v>
      </c>
      <c r="R43" s="85">
        <v>2.303656597774245</v>
      </c>
      <c r="S43" s="29" t="s">
        <v>1998</v>
      </c>
      <c r="T43" s="29" t="s">
        <v>2030</v>
      </c>
    </row>
    <row r="44">
      <c r="B44" s="29" t="s">
        <v>1216</v>
      </c>
      <c r="C44" s="29" t="s">
        <v>1242</v>
      </c>
      <c r="D44" s="8" t="s">
        <v>1252</v>
      </c>
      <c r="E44" s="10" t="s">
        <v>1362</v>
      </c>
      <c r="F44" s="10"/>
      <c r="G44" s="10">
        <v>2</v>
      </c>
      <c r="H44" s="10">
        <v>1</v>
      </c>
      <c r="I44" s="10"/>
      <c r="J44" s="10">
        <v>729</v>
      </c>
      <c r="K44" s="104"/>
      <c r="L44" s="104">
        <v>45166</v>
      </c>
      <c r="M44" s="10" t="b">
        <v>0</v>
      </c>
      <c r="N44" s="10"/>
      <c r="O44" s="11">
        <v>1349</v>
      </c>
      <c r="P44" s="85">
        <v>1.850480109739369</v>
      </c>
      <c r="Q44" s="11">
        <v>1349</v>
      </c>
      <c r="R44" s="85">
        <v>1.850480109739369</v>
      </c>
      <c r="S44" s="29" t="s">
        <v>1998</v>
      </c>
      <c r="T44" s="29" t="s">
        <v>1998</v>
      </c>
    </row>
    <row r="45">
      <c r="B45" s="29" t="s">
        <v>1216</v>
      </c>
      <c r="C45" s="29" t="s">
        <v>1242</v>
      </c>
      <c r="D45" s="8" t="s">
        <v>1252</v>
      </c>
      <c r="E45" s="10" t="s">
        <v>1363</v>
      </c>
      <c r="F45" s="10"/>
      <c r="G45" s="10">
        <v>2</v>
      </c>
      <c r="H45" s="10">
        <v>1</v>
      </c>
      <c r="I45" s="10"/>
      <c r="J45" s="10">
        <v>729</v>
      </c>
      <c r="K45" s="104">
        <v>45142</v>
      </c>
      <c r="L45" s="104">
        <v>45164</v>
      </c>
      <c r="M45" s="10" t="b">
        <v>0</v>
      </c>
      <c r="N45" s="10">
        <v>23</v>
      </c>
      <c r="O45" s="11">
        <v>1369</v>
      </c>
      <c r="P45" s="85">
        <v>1.8779149519890261</v>
      </c>
      <c r="Q45" s="11">
        <v>1369</v>
      </c>
      <c r="R45" s="85">
        <v>1.8779149519890261</v>
      </c>
      <c r="S45" s="29" t="s">
        <v>1998</v>
      </c>
      <c r="T45" s="29" t="s">
        <v>1998</v>
      </c>
    </row>
    <row r="46">
      <c r="B46" s="29" t="s">
        <v>1216</v>
      </c>
      <c r="C46" s="29" t="s">
        <v>1242</v>
      </c>
      <c r="D46" s="8" t="s">
        <v>1252</v>
      </c>
      <c r="E46" s="10" t="s">
        <v>1364</v>
      </c>
      <c r="F46" s="10"/>
      <c r="G46" s="10">
        <v>2</v>
      </c>
      <c r="H46" s="10">
        <v>1</v>
      </c>
      <c r="I46" s="10"/>
      <c r="J46" s="10">
        <v>729</v>
      </c>
      <c r="K46" s="104">
        <v>45311</v>
      </c>
      <c r="L46" s="104">
        <v>45411</v>
      </c>
      <c r="M46" s="10" t="b">
        <v>0</v>
      </c>
      <c r="N46" s="10">
        <v>101</v>
      </c>
      <c r="O46" s="11">
        <v>1369</v>
      </c>
      <c r="P46" s="85">
        <v>1.8779149519890261</v>
      </c>
      <c r="Q46" s="11">
        <v>1369</v>
      </c>
      <c r="R46" s="85">
        <v>1.8779149519890261</v>
      </c>
      <c r="S46" s="29" t="s">
        <v>1998</v>
      </c>
      <c r="T46" s="29" t="s">
        <v>2030</v>
      </c>
    </row>
    <row r="47">
      <c r="B47" s="29" t="s">
        <v>1216</v>
      </c>
      <c r="C47" s="29" t="s">
        <v>1242</v>
      </c>
      <c r="D47" s="8" t="s">
        <v>1252</v>
      </c>
      <c r="E47" s="10" t="s">
        <v>1365</v>
      </c>
      <c r="F47" s="10"/>
      <c r="G47" s="10">
        <v>2</v>
      </c>
      <c r="H47" s="10">
        <v>1</v>
      </c>
      <c r="I47" s="10"/>
      <c r="J47" s="10">
        <v>729</v>
      </c>
      <c r="K47" s="104">
        <v>45202</v>
      </c>
      <c r="L47" s="104">
        <v>45239</v>
      </c>
      <c r="M47" s="10" t="b">
        <v>0</v>
      </c>
      <c r="N47" s="10">
        <v>38</v>
      </c>
      <c r="O47" s="11">
        <v>1369</v>
      </c>
      <c r="P47" s="85">
        <v>1.8779149519890261</v>
      </c>
      <c r="Q47" s="11">
        <v>1369</v>
      </c>
      <c r="R47" s="85">
        <v>1.8779149519890261</v>
      </c>
      <c r="S47" s="29" t="s">
        <v>1998</v>
      </c>
      <c r="T47" s="29" t="s">
        <v>1998</v>
      </c>
    </row>
    <row r="48">
      <c r="B48" s="29" t="s">
        <v>1216</v>
      </c>
      <c r="C48" s="29" t="s">
        <v>1242</v>
      </c>
      <c r="D48" s="8" t="s">
        <v>1252</v>
      </c>
      <c r="E48" s="10" t="s">
        <v>1366</v>
      </c>
      <c r="F48" s="10"/>
      <c r="G48" s="10">
        <v>2</v>
      </c>
      <c r="H48" s="10">
        <v>1</v>
      </c>
      <c r="I48" s="10"/>
      <c r="J48" s="10">
        <v>729</v>
      </c>
      <c r="K48" s="104">
        <v>45210</v>
      </c>
      <c r="L48" s="104">
        <v>45251</v>
      </c>
      <c r="M48" s="10" t="b">
        <v>0</v>
      </c>
      <c r="N48" s="10">
        <v>42</v>
      </c>
      <c r="O48" s="11">
        <v>1389</v>
      </c>
      <c r="P48" s="85">
        <v>1.9053497942386832</v>
      </c>
      <c r="Q48" s="11">
        <v>1389</v>
      </c>
      <c r="R48" s="85">
        <v>1.9053497942386832</v>
      </c>
      <c r="S48" s="29" t="s">
        <v>1998</v>
      </c>
      <c r="T48" s="29" t="s">
        <v>1998</v>
      </c>
    </row>
    <row r="49">
      <c r="B49" s="29" t="s">
        <v>1216</v>
      </c>
      <c r="C49" s="29" t="s">
        <v>1242</v>
      </c>
      <c r="D49" s="8" t="s">
        <v>1252</v>
      </c>
      <c r="E49" s="10" t="s">
        <v>1367</v>
      </c>
      <c r="F49" s="10"/>
      <c r="G49" s="10">
        <v>2</v>
      </c>
      <c r="H49" s="10">
        <v>1</v>
      </c>
      <c r="I49" s="10"/>
      <c r="J49" s="10">
        <v>729</v>
      </c>
      <c r="K49" s="104">
        <v>45242</v>
      </c>
      <c r="L49" s="104">
        <v>45261</v>
      </c>
      <c r="M49" s="10" t="b">
        <v>0</v>
      </c>
      <c r="N49" s="10">
        <v>20</v>
      </c>
      <c r="O49" s="11">
        <v>1389</v>
      </c>
      <c r="P49" s="85">
        <v>1.9053497942386832</v>
      </c>
      <c r="Q49" s="11">
        <v>1389</v>
      </c>
      <c r="R49" s="85">
        <v>1.9053497942386832</v>
      </c>
      <c r="S49" s="29" t="s">
        <v>1998</v>
      </c>
      <c r="T49" s="29" t="s">
        <v>1998</v>
      </c>
    </row>
    <row r="50">
      <c r="B50" s="29" t="s">
        <v>1216</v>
      </c>
      <c r="C50" s="29" t="s">
        <v>1242</v>
      </c>
      <c r="D50" s="8" t="s">
        <v>1252</v>
      </c>
      <c r="E50" s="10" t="s">
        <v>1368</v>
      </c>
      <c r="F50" s="10"/>
      <c r="G50" s="10">
        <v>2</v>
      </c>
      <c r="H50" s="10">
        <v>1</v>
      </c>
      <c r="I50" s="10"/>
      <c r="J50" s="10">
        <v>729</v>
      </c>
      <c r="K50" s="104">
        <v>45362</v>
      </c>
      <c r="L50" s="104">
        <v>45400</v>
      </c>
      <c r="M50" s="10" t="b">
        <v>0</v>
      </c>
      <c r="N50" s="10">
        <v>39</v>
      </c>
      <c r="O50" s="11">
        <v>1399</v>
      </c>
      <c r="P50" s="85">
        <v>1.9190672153635118</v>
      </c>
      <c r="Q50" s="11">
        <v>1399</v>
      </c>
      <c r="R50" s="85">
        <v>1.9190672153635118</v>
      </c>
      <c r="S50" s="29" t="s">
        <v>1998</v>
      </c>
      <c r="T50" s="29" t="s">
        <v>2030</v>
      </c>
    </row>
    <row r="51">
      <c r="B51" s="29" t="s">
        <v>1216</v>
      </c>
      <c r="C51" s="29" t="s">
        <v>1242</v>
      </c>
      <c r="D51" s="8" t="s">
        <v>1252</v>
      </c>
      <c r="E51" s="10" t="s">
        <v>1369</v>
      </c>
      <c r="F51" s="10"/>
      <c r="G51" s="10">
        <v>2</v>
      </c>
      <c r="H51" s="10">
        <v>1</v>
      </c>
      <c r="I51" s="10"/>
      <c r="J51" s="10">
        <v>729</v>
      </c>
      <c r="K51" s="104"/>
      <c r="L51" s="104">
        <v>45152</v>
      </c>
      <c r="M51" s="10" t="b">
        <v>0</v>
      </c>
      <c r="N51" s="10"/>
      <c r="O51" s="11">
        <v>1399</v>
      </c>
      <c r="P51" s="85">
        <v>1.9190672153635118</v>
      </c>
      <c r="Q51" s="11">
        <v>1399</v>
      </c>
      <c r="R51" s="85">
        <v>1.9190672153635118</v>
      </c>
      <c r="S51" s="29" t="s">
        <v>1998</v>
      </c>
      <c r="T51" s="29" t="s">
        <v>1998</v>
      </c>
    </row>
    <row r="52">
      <c r="B52" s="29" t="s">
        <v>1216</v>
      </c>
      <c r="C52" s="29" t="s">
        <v>1242</v>
      </c>
      <c r="D52" s="8" t="s">
        <v>1252</v>
      </c>
      <c r="E52" s="10" t="s">
        <v>1370</v>
      </c>
      <c r="F52" s="10"/>
      <c r="G52" s="10">
        <v>2</v>
      </c>
      <c r="H52" s="10">
        <v>1</v>
      </c>
      <c r="I52" s="10"/>
      <c r="J52" s="10">
        <v>729</v>
      </c>
      <c r="K52" s="104">
        <v>45251</v>
      </c>
      <c r="L52" s="104">
        <v>45268</v>
      </c>
      <c r="M52" s="10" t="b">
        <v>0</v>
      </c>
      <c r="N52" s="10">
        <v>18</v>
      </c>
      <c r="O52" s="11">
        <v>1399</v>
      </c>
      <c r="P52" s="85">
        <v>1.9190672153635118</v>
      </c>
      <c r="Q52" s="11">
        <v>1399</v>
      </c>
      <c r="R52" s="85">
        <v>1.9190672153635118</v>
      </c>
      <c r="S52" s="29" t="s">
        <v>1998</v>
      </c>
      <c r="T52" s="29" t="s">
        <v>1998</v>
      </c>
    </row>
    <row r="53">
      <c r="B53" s="29" t="s">
        <v>1216</v>
      </c>
      <c r="C53" s="29" t="s">
        <v>1242</v>
      </c>
      <c r="D53" s="8" t="s">
        <v>1252</v>
      </c>
      <c r="E53" s="10" t="s">
        <v>1371</v>
      </c>
      <c r="F53" s="10"/>
      <c r="G53" s="10">
        <v>2</v>
      </c>
      <c r="H53" s="10">
        <v>1</v>
      </c>
      <c r="I53" s="10"/>
      <c r="J53" s="10">
        <v>729</v>
      </c>
      <c r="K53" s="104">
        <v>45297</v>
      </c>
      <c r="L53" s="104">
        <v>45362</v>
      </c>
      <c r="M53" s="10" t="b">
        <v>0</v>
      </c>
      <c r="N53" s="10">
        <v>66</v>
      </c>
      <c r="O53" s="11">
        <v>1409</v>
      </c>
      <c r="P53" s="85">
        <v>1.93278463648834</v>
      </c>
      <c r="Q53" s="11">
        <v>1409</v>
      </c>
      <c r="R53" s="85">
        <v>1.93278463648834</v>
      </c>
      <c r="S53" s="29" t="s">
        <v>1998</v>
      </c>
      <c r="T53" s="29" t="s">
        <v>2030</v>
      </c>
    </row>
    <row r="54">
      <c r="B54" s="29" t="s">
        <v>1216</v>
      </c>
      <c r="C54" s="29" t="s">
        <v>1242</v>
      </c>
      <c r="D54" s="8" t="s">
        <v>1252</v>
      </c>
      <c r="E54" s="10" t="s">
        <v>1372</v>
      </c>
      <c r="F54" s="10"/>
      <c r="G54" s="10">
        <v>2</v>
      </c>
      <c r="H54" s="10">
        <v>1</v>
      </c>
      <c r="I54" s="10"/>
      <c r="J54" s="10">
        <v>729</v>
      </c>
      <c r="K54" s="104">
        <v>45379</v>
      </c>
      <c r="L54" s="104">
        <v>45406</v>
      </c>
      <c r="M54" s="10" t="b">
        <v>0</v>
      </c>
      <c r="N54" s="10">
        <v>28</v>
      </c>
      <c r="O54" s="11">
        <v>1419</v>
      </c>
      <c r="P54" s="85">
        <v>1.9465020576131686</v>
      </c>
      <c r="Q54" s="11">
        <v>1419</v>
      </c>
      <c r="R54" s="85">
        <v>1.9465020576131686</v>
      </c>
      <c r="S54" s="29" t="s">
        <v>1998</v>
      </c>
      <c r="T54" s="29" t="s">
        <v>2030</v>
      </c>
    </row>
    <row r="55">
      <c r="B55" s="29" t="s">
        <v>1216</v>
      </c>
      <c r="C55" s="29" t="s">
        <v>1242</v>
      </c>
      <c r="D55" s="8" t="s">
        <v>1252</v>
      </c>
      <c r="E55" s="10" t="s">
        <v>1373</v>
      </c>
      <c r="F55" s="10"/>
      <c r="G55" s="10">
        <v>2</v>
      </c>
      <c r="H55" s="10">
        <v>1</v>
      </c>
      <c r="I55" s="10"/>
      <c r="J55" s="10">
        <v>729</v>
      </c>
      <c r="K55" s="104">
        <v>45193</v>
      </c>
      <c r="L55" s="104">
        <v>45267</v>
      </c>
      <c r="M55" s="10" t="b">
        <v>0</v>
      </c>
      <c r="N55" s="10">
        <v>75</v>
      </c>
      <c r="O55" s="11">
        <v>1419</v>
      </c>
      <c r="P55" s="85">
        <v>1.9465020576131686</v>
      </c>
      <c r="Q55" s="11">
        <v>1419</v>
      </c>
      <c r="R55" s="85">
        <v>1.9465020576131686</v>
      </c>
      <c r="S55" s="29" t="s">
        <v>1998</v>
      </c>
      <c r="T55" s="29" t="s">
        <v>1998</v>
      </c>
    </row>
    <row r="56">
      <c r="B56" s="29" t="s">
        <v>1216</v>
      </c>
      <c r="C56" s="29" t="s">
        <v>1242</v>
      </c>
      <c r="D56" s="8" t="s">
        <v>1252</v>
      </c>
      <c r="E56" s="10" t="s">
        <v>1374</v>
      </c>
      <c r="F56" s="10"/>
      <c r="G56" s="10">
        <v>2</v>
      </c>
      <c r="H56" s="10">
        <v>1</v>
      </c>
      <c r="I56" s="10"/>
      <c r="J56" s="10">
        <v>729</v>
      </c>
      <c r="K56" s="104">
        <v>45449</v>
      </c>
      <c r="L56" s="104">
        <v>45571</v>
      </c>
      <c r="M56" s="10" t="b">
        <v>0</v>
      </c>
      <c r="N56" s="10">
        <v>123</v>
      </c>
      <c r="O56" s="11">
        <v>1419</v>
      </c>
      <c r="P56" s="85">
        <v>1.9465020576131686</v>
      </c>
      <c r="Q56" s="11">
        <v>1419</v>
      </c>
      <c r="R56" s="85">
        <v>1.9465020576131686</v>
      </c>
      <c r="S56" s="29" t="s">
        <v>1998</v>
      </c>
      <c r="T56" s="29" t="s">
        <v>2030</v>
      </c>
    </row>
    <row r="57">
      <c r="B57" s="29" t="s">
        <v>1216</v>
      </c>
      <c r="C57" s="29" t="s">
        <v>1242</v>
      </c>
      <c r="D57" s="8" t="s">
        <v>1252</v>
      </c>
      <c r="E57" s="10" t="s">
        <v>1375</v>
      </c>
      <c r="F57" s="10"/>
      <c r="G57" s="10">
        <v>2</v>
      </c>
      <c r="H57" s="10">
        <v>1</v>
      </c>
      <c r="I57" s="10"/>
      <c r="J57" s="10">
        <v>729</v>
      </c>
      <c r="K57" s="104">
        <v>45492</v>
      </c>
      <c r="L57" s="104">
        <v>45557</v>
      </c>
      <c r="M57" s="10" t="b">
        <v>0</v>
      </c>
      <c r="N57" s="10">
        <v>66</v>
      </c>
      <c r="O57" s="11">
        <v>1429</v>
      </c>
      <c r="P57" s="85">
        <v>1.9602194787379972</v>
      </c>
      <c r="Q57" s="11">
        <v>1429</v>
      </c>
      <c r="R57" s="85">
        <v>1.9602194787379972</v>
      </c>
      <c r="S57" s="29" t="s">
        <v>1998</v>
      </c>
      <c r="T57" s="29" t="s">
        <v>2030</v>
      </c>
    </row>
    <row r="58">
      <c r="B58" s="29" t="s">
        <v>1216</v>
      </c>
      <c r="C58" s="29" t="s">
        <v>1242</v>
      </c>
      <c r="D58" s="8" t="s">
        <v>1252</v>
      </c>
      <c r="E58" s="10" t="s">
        <v>1376</v>
      </c>
      <c r="F58" s="10"/>
      <c r="G58" s="10">
        <v>2</v>
      </c>
      <c r="H58" s="10">
        <v>1</v>
      </c>
      <c r="I58" s="10"/>
      <c r="J58" s="10">
        <v>729</v>
      </c>
      <c r="K58" s="104">
        <v>45708</v>
      </c>
      <c r="L58" s="104">
        <v>45730</v>
      </c>
      <c r="M58" s="10" t="b">
        <v>0</v>
      </c>
      <c r="N58" s="10">
        <v>23</v>
      </c>
      <c r="O58" s="11">
        <v>1429</v>
      </c>
      <c r="P58" s="85">
        <v>1.9602194787379972</v>
      </c>
      <c r="Q58" s="11">
        <v>1429</v>
      </c>
      <c r="R58" s="85">
        <v>1.9602194787379972</v>
      </c>
      <c r="S58" s="29" t="s">
        <v>1998</v>
      </c>
      <c r="T58" s="29" t="s">
        <v>2030</v>
      </c>
    </row>
    <row r="59">
      <c r="B59" s="29" t="s">
        <v>1216</v>
      </c>
      <c r="C59" s="29" t="s">
        <v>1242</v>
      </c>
      <c r="D59" s="8" t="s">
        <v>1252</v>
      </c>
      <c r="E59" s="10" t="s">
        <v>1377</v>
      </c>
      <c r="F59" s="10"/>
      <c r="G59" s="10">
        <v>2</v>
      </c>
      <c r="H59" s="10">
        <v>1</v>
      </c>
      <c r="I59" s="10"/>
      <c r="J59" s="10">
        <v>729</v>
      </c>
      <c r="K59" s="104">
        <v>45492</v>
      </c>
      <c r="L59" s="104">
        <v>45572</v>
      </c>
      <c r="M59" s="10" t="b">
        <v>0</v>
      </c>
      <c r="N59" s="10">
        <v>81</v>
      </c>
      <c r="O59" s="11">
        <v>1429</v>
      </c>
      <c r="P59" s="85">
        <v>1.9602194787379972</v>
      </c>
      <c r="Q59" s="11">
        <v>1429</v>
      </c>
      <c r="R59" s="85">
        <v>1.9602194787379972</v>
      </c>
      <c r="S59" s="29" t="s">
        <v>1998</v>
      </c>
      <c r="T59" s="29" t="s">
        <v>2030</v>
      </c>
    </row>
    <row r="60">
      <c r="B60" s="29" t="s">
        <v>1216</v>
      </c>
      <c r="C60" s="29" t="s">
        <v>1242</v>
      </c>
      <c r="D60" s="8" t="s">
        <v>1252</v>
      </c>
      <c r="E60" s="10" t="s">
        <v>1378</v>
      </c>
      <c r="F60" s="10"/>
      <c r="G60" s="10">
        <v>2</v>
      </c>
      <c r="H60" s="10">
        <v>1</v>
      </c>
      <c r="I60" s="10"/>
      <c r="J60" s="10">
        <v>729</v>
      </c>
      <c r="K60" s="104">
        <v>45290</v>
      </c>
      <c r="L60" s="104">
        <v>45291</v>
      </c>
      <c r="M60" s="10" t="b">
        <v>0</v>
      </c>
      <c r="N60" s="10">
        <v>2</v>
      </c>
      <c r="O60" s="11">
        <v>1429</v>
      </c>
      <c r="P60" s="85">
        <v>1.9602194787379972</v>
      </c>
      <c r="Q60" s="11">
        <v>1429</v>
      </c>
      <c r="R60" s="85">
        <v>1.9602194787379972</v>
      </c>
      <c r="S60" s="29" t="s">
        <v>1998</v>
      </c>
      <c r="T60" s="29" t="s">
        <v>1998</v>
      </c>
    </row>
    <row r="61">
      <c r="B61" s="29" t="s">
        <v>1216</v>
      </c>
      <c r="C61" s="29" t="s">
        <v>1242</v>
      </c>
      <c r="D61" s="8" t="s">
        <v>1252</v>
      </c>
      <c r="E61" s="10" t="s">
        <v>1379</v>
      </c>
      <c r="F61" s="10"/>
      <c r="G61" s="10">
        <v>2</v>
      </c>
      <c r="H61" s="10">
        <v>1</v>
      </c>
      <c r="I61" s="10"/>
      <c r="J61" s="10">
        <v>729</v>
      </c>
      <c r="K61" s="104">
        <v>45490</v>
      </c>
      <c r="L61" s="104">
        <v>45493</v>
      </c>
      <c r="M61" s="10" t="b">
        <v>0</v>
      </c>
      <c r="N61" s="10">
        <v>4</v>
      </c>
      <c r="O61" s="11">
        <v>1439</v>
      </c>
      <c r="P61" s="85">
        <v>1.9739368998628257</v>
      </c>
      <c r="Q61" s="11">
        <v>1439</v>
      </c>
      <c r="R61" s="85">
        <v>1.9739368998628257</v>
      </c>
      <c r="S61" s="29" t="s">
        <v>1998</v>
      </c>
      <c r="T61" s="29" t="s">
        <v>2030</v>
      </c>
    </row>
    <row r="62">
      <c r="B62" s="29" t="s">
        <v>1216</v>
      </c>
      <c r="C62" s="29" t="s">
        <v>1242</v>
      </c>
      <c r="D62" s="8" t="s">
        <v>1252</v>
      </c>
      <c r="E62" s="10" t="s">
        <v>1380</v>
      </c>
      <c r="F62" s="10"/>
      <c r="G62" s="10">
        <v>2</v>
      </c>
      <c r="H62" s="10">
        <v>1</v>
      </c>
      <c r="I62" s="10"/>
      <c r="J62" s="10">
        <v>729</v>
      </c>
      <c r="K62" s="104">
        <v>45474</v>
      </c>
      <c r="L62" s="104">
        <v>45499</v>
      </c>
      <c r="M62" s="10" t="b">
        <v>0</v>
      </c>
      <c r="N62" s="10">
        <v>26</v>
      </c>
      <c r="O62" s="11">
        <v>1439</v>
      </c>
      <c r="P62" s="85">
        <v>1.9739368998628257</v>
      </c>
      <c r="Q62" s="11">
        <v>1439</v>
      </c>
      <c r="R62" s="85">
        <v>1.9739368998628257</v>
      </c>
      <c r="S62" s="29" t="s">
        <v>1998</v>
      </c>
      <c r="T62" s="29" t="s">
        <v>2030</v>
      </c>
    </row>
    <row r="63">
      <c r="B63" s="29" t="s">
        <v>1216</v>
      </c>
      <c r="C63" s="29" t="s">
        <v>1242</v>
      </c>
      <c r="D63" s="8" t="s">
        <v>1252</v>
      </c>
      <c r="E63" s="10" t="s">
        <v>1381</v>
      </c>
      <c r="F63" s="10"/>
      <c r="G63" s="10">
        <v>2</v>
      </c>
      <c r="H63" s="10">
        <v>1</v>
      </c>
      <c r="I63" s="10"/>
      <c r="J63" s="10">
        <v>729</v>
      </c>
      <c r="K63" s="104">
        <v>45239</v>
      </c>
      <c r="L63" s="104">
        <v>45246</v>
      </c>
      <c r="M63" s="10" t="b">
        <v>0</v>
      </c>
      <c r="N63" s="10">
        <v>8</v>
      </c>
      <c r="O63" s="11">
        <v>1449</v>
      </c>
      <c r="P63" s="85">
        <v>1.9876543209876543</v>
      </c>
      <c r="Q63" s="11">
        <v>1449</v>
      </c>
      <c r="R63" s="85">
        <v>1.9876543209876543</v>
      </c>
      <c r="S63" s="29" t="s">
        <v>1998</v>
      </c>
      <c r="T63" s="29" t="s">
        <v>1998</v>
      </c>
    </row>
    <row r="64">
      <c r="B64" s="29" t="s">
        <v>1216</v>
      </c>
      <c r="C64" s="29" t="s">
        <v>1242</v>
      </c>
      <c r="D64" s="8" t="s">
        <v>1252</v>
      </c>
      <c r="E64" s="10" t="s">
        <v>1382</v>
      </c>
      <c r="F64" s="10"/>
      <c r="G64" s="10">
        <v>2</v>
      </c>
      <c r="H64" s="10">
        <v>1</v>
      </c>
      <c r="I64" s="10"/>
      <c r="J64" s="10">
        <v>729</v>
      </c>
      <c r="K64" s="104">
        <v>45411</v>
      </c>
      <c r="L64" s="104">
        <v>45414</v>
      </c>
      <c r="M64" s="10" t="b">
        <v>0</v>
      </c>
      <c r="N64" s="10">
        <v>4</v>
      </c>
      <c r="O64" s="11">
        <v>1449</v>
      </c>
      <c r="P64" s="85">
        <v>1.9876543209876543</v>
      </c>
      <c r="Q64" s="11">
        <v>1449</v>
      </c>
      <c r="R64" s="85">
        <v>1.9876543209876543</v>
      </c>
      <c r="S64" s="29" t="s">
        <v>1998</v>
      </c>
      <c r="T64" s="29" t="s">
        <v>2030</v>
      </c>
    </row>
    <row r="65">
      <c r="B65" s="29" t="s">
        <v>1216</v>
      </c>
      <c r="C65" s="29" t="s">
        <v>1242</v>
      </c>
      <c r="D65" s="8" t="s">
        <v>1252</v>
      </c>
      <c r="E65" s="10" t="s">
        <v>1383</v>
      </c>
      <c r="F65" s="10"/>
      <c r="G65" s="10">
        <v>2</v>
      </c>
      <c r="H65" s="10">
        <v>1</v>
      </c>
      <c r="I65" s="10"/>
      <c r="J65" s="10">
        <v>729</v>
      </c>
      <c r="K65" s="104">
        <v>45099</v>
      </c>
      <c r="L65" s="104">
        <v>45171</v>
      </c>
      <c r="M65" s="10" t="b">
        <v>0</v>
      </c>
      <c r="N65" s="10">
        <v>73</v>
      </c>
      <c r="O65" s="11">
        <v>1449</v>
      </c>
      <c r="P65" s="85">
        <v>1.9876543209876543</v>
      </c>
      <c r="Q65" s="11">
        <v>1449</v>
      </c>
      <c r="R65" s="85">
        <v>1.9876543209876543</v>
      </c>
      <c r="S65" s="29" t="s">
        <v>1998</v>
      </c>
      <c r="T65" s="29" t="s">
        <v>1998</v>
      </c>
    </row>
    <row r="66">
      <c r="B66" s="29" t="s">
        <v>1216</v>
      </c>
      <c r="C66" s="29" t="s">
        <v>1242</v>
      </c>
      <c r="D66" s="8" t="s">
        <v>1252</v>
      </c>
      <c r="E66" s="10" t="s">
        <v>1384</v>
      </c>
      <c r="F66" s="10"/>
      <c r="G66" s="10">
        <v>2</v>
      </c>
      <c r="H66" s="10">
        <v>1</v>
      </c>
      <c r="I66" s="10"/>
      <c r="J66" s="10">
        <v>729</v>
      </c>
      <c r="K66" s="104">
        <v>45512</v>
      </c>
      <c r="L66" s="104">
        <v>45687</v>
      </c>
      <c r="M66" s="10" t="b">
        <v>0</v>
      </c>
      <c r="N66" s="10">
        <v>176</v>
      </c>
      <c r="O66" s="11">
        <v>1459</v>
      </c>
      <c r="P66" s="85">
        <v>2.001371742112483</v>
      </c>
      <c r="Q66" s="11">
        <v>1459</v>
      </c>
      <c r="R66" s="85">
        <v>2.001371742112483</v>
      </c>
      <c r="S66" s="29" t="s">
        <v>1998</v>
      </c>
      <c r="T66" s="29" t="s">
        <v>2030</v>
      </c>
    </row>
    <row r="67">
      <c r="B67" s="29" t="s">
        <v>1216</v>
      </c>
      <c r="C67" s="29" t="s">
        <v>1242</v>
      </c>
      <c r="D67" s="8" t="s">
        <v>1252</v>
      </c>
      <c r="E67" s="10" t="s">
        <v>1385</v>
      </c>
      <c r="F67" s="10"/>
      <c r="G67" s="10">
        <v>2</v>
      </c>
      <c r="H67" s="10">
        <v>1</v>
      </c>
      <c r="I67" s="10"/>
      <c r="J67" s="10">
        <v>729</v>
      </c>
      <c r="K67" s="104">
        <v>45332</v>
      </c>
      <c r="L67" s="104">
        <v>45448</v>
      </c>
      <c r="M67" s="10" t="b">
        <v>0</v>
      </c>
      <c r="N67" s="10">
        <v>117</v>
      </c>
      <c r="O67" s="11">
        <v>1469</v>
      </c>
      <c r="P67" s="85">
        <v>2.0150891632373114</v>
      </c>
      <c r="Q67" s="11">
        <v>1469</v>
      </c>
      <c r="R67" s="85">
        <v>2.0150891632373114</v>
      </c>
      <c r="S67" s="29" t="s">
        <v>1998</v>
      </c>
      <c r="T67" s="29" t="s">
        <v>2030</v>
      </c>
    </row>
    <row r="68">
      <c r="B68" s="29" t="s">
        <v>1216</v>
      </c>
      <c r="C68" s="29" t="s">
        <v>1242</v>
      </c>
      <c r="D68" s="8" t="s">
        <v>1252</v>
      </c>
      <c r="E68" s="10" t="s">
        <v>1386</v>
      </c>
      <c r="F68" s="10"/>
      <c r="G68" s="10">
        <v>2</v>
      </c>
      <c r="H68" s="10">
        <v>1</v>
      </c>
      <c r="I68" s="10"/>
      <c r="J68" s="10">
        <v>729</v>
      </c>
      <c r="K68" s="104">
        <v>45320</v>
      </c>
      <c r="L68" s="104">
        <v>45642</v>
      </c>
      <c r="M68" s="10" t="b">
        <v>0</v>
      </c>
      <c r="N68" s="10">
        <v>323</v>
      </c>
      <c r="O68" s="11">
        <v>1469</v>
      </c>
      <c r="P68" s="85">
        <v>2.0150891632373114</v>
      </c>
      <c r="Q68" s="11">
        <v>1469</v>
      </c>
      <c r="R68" s="85">
        <v>2.0150891632373114</v>
      </c>
      <c r="S68" s="29" t="s">
        <v>1998</v>
      </c>
      <c r="T68" s="29" t="s">
        <v>2030</v>
      </c>
    </row>
    <row r="69">
      <c r="B69" s="29" t="s">
        <v>1216</v>
      </c>
      <c r="C69" s="29" t="s">
        <v>1242</v>
      </c>
      <c r="D69" s="8" t="s">
        <v>1252</v>
      </c>
      <c r="E69" s="10" t="s">
        <v>1387</v>
      </c>
      <c r="F69" s="10"/>
      <c r="G69" s="10">
        <v>2</v>
      </c>
      <c r="H69" s="10">
        <v>1</v>
      </c>
      <c r="I69" s="10"/>
      <c r="J69" s="10">
        <v>729</v>
      </c>
      <c r="K69" s="104">
        <v>45599</v>
      </c>
      <c r="L69" s="104"/>
      <c r="M69" s="10" t="b">
        <v>1</v>
      </c>
      <c r="N69" s="10"/>
      <c r="O69" s="11">
        <v>1479</v>
      </c>
      <c r="P69" s="85">
        <v>2.02880658436214</v>
      </c>
      <c r="Q69" s="11">
        <v>1479</v>
      </c>
      <c r="R69" s="85">
        <v>2.02880658436214</v>
      </c>
      <c r="S69" s="29" t="s">
        <v>1998</v>
      </c>
      <c r="T69" s="29" t="s">
        <v>2030</v>
      </c>
    </row>
    <row r="70">
      <c r="B70" s="29" t="s">
        <v>1216</v>
      </c>
      <c r="C70" s="29" t="s">
        <v>1242</v>
      </c>
      <c r="D70" s="8" t="s">
        <v>1252</v>
      </c>
      <c r="E70" s="10" t="s">
        <v>1388</v>
      </c>
      <c r="F70" s="10"/>
      <c r="G70" s="10">
        <v>2</v>
      </c>
      <c r="H70" s="10">
        <v>1</v>
      </c>
      <c r="I70" s="10"/>
      <c r="J70" s="10">
        <v>729</v>
      </c>
      <c r="K70" s="104">
        <v>45750</v>
      </c>
      <c r="L70" s="104"/>
      <c r="M70" s="10" t="b">
        <v>1</v>
      </c>
      <c r="N70" s="10"/>
      <c r="O70" s="11">
        <v>1479</v>
      </c>
      <c r="P70" s="85">
        <v>2.02880658436214</v>
      </c>
      <c r="Q70" s="11">
        <v>1479</v>
      </c>
      <c r="R70" s="85">
        <v>2.02880658436214</v>
      </c>
      <c r="S70" s="29" t="s">
        <v>1998</v>
      </c>
      <c r="T70" s="29" t="s">
        <v>2030</v>
      </c>
    </row>
    <row r="71">
      <c r="B71" s="29" t="s">
        <v>1216</v>
      </c>
      <c r="C71" s="29" t="s">
        <v>1242</v>
      </c>
      <c r="D71" s="8" t="s">
        <v>1252</v>
      </c>
      <c r="E71" s="10" t="s">
        <v>1389</v>
      </c>
      <c r="F71" s="10"/>
      <c r="G71" s="10">
        <v>2</v>
      </c>
      <c r="H71" s="10">
        <v>1</v>
      </c>
      <c r="I71" s="10"/>
      <c r="J71" s="10">
        <v>729</v>
      </c>
      <c r="K71" s="104">
        <v>45714</v>
      </c>
      <c r="L71" s="104">
        <v>45750</v>
      </c>
      <c r="M71" s="10" t="b">
        <v>0</v>
      </c>
      <c r="N71" s="10">
        <v>37</v>
      </c>
      <c r="O71" s="11">
        <v>1479</v>
      </c>
      <c r="P71" s="85">
        <v>2.02880658436214</v>
      </c>
      <c r="Q71" s="11">
        <v>1479</v>
      </c>
      <c r="R71" s="85">
        <v>2.02880658436214</v>
      </c>
      <c r="S71" s="29" t="s">
        <v>1998</v>
      </c>
      <c r="T71" s="29" t="s">
        <v>2030</v>
      </c>
    </row>
    <row r="72">
      <c r="B72" s="29" t="s">
        <v>1216</v>
      </c>
      <c r="C72" s="29" t="s">
        <v>1242</v>
      </c>
      <c r="D72" s="8" t="s">
        <v>1252</v>
      </c>
      <c r="E72" s="10" t="s">
        <v>1390</v>
      </c>
      <c r="F72" s="10"/>
      <c r="G72" s="10">
        <v>2</v>
      </c>
      <c r="H72" s="10">
        <v>1</v>
      </c>
      <c r="I72" s="10"/>
      <c r="J72" s="10">
        <v>729</v>
      </c>
      <c r="K72" s="104">
        <v>45674</v>
      </c>
      <c r="L72" s="104"/>
      <c r="M72" s="10" t="b">
        <v>1</v>
      </c>
      <c r="N72" s="10"/>
      <c r="O72" s="11">
        <v>1499</v>
      </c>
      <c r="P72" s="85">
        <v>2.056241426611797</v>
      </c>
      <c r="Q72" s="11">
        <v>1499</v>
      </c>
      <c r="R72" s="85">
        <v>2.056241426611797</v>
      </c>
      <c r="S72" s="29" t="s">
        <v>1998</v>
      </c>
      <c r="T72" s="29" t="s">
        <v>2030</v>
      </c>
    </row>
    <row r="73">
      <c r="B73" s="29" t="s">
        <v>1216</v>
      </c>
      <c r="C73" s="29" t="s">
        <v>1242</v>
      </c>
      <c r="D73" s="8" t="s">
        <v>1252</v>
      </c>
      <c r="E73" s="10" t="s">
        <v>1391</v>
      </c>
      <c r="F73" s="10"/>
      <c r="G73" s="10">
        <v>2</v>
      </c>
      <c r="H73" s="10">
        <v>1</v>
      </c>
      <c r="I73" s="10"/>
      <c r="J73" s="10">
        <v>729</v>
      </c>
      <c r="K73" s="104">
        <v>45753</v>
      </c>
      <c r="L73" s="104">
        <v>45755</v>
      </c>
      <c r="M73" s="10" t="b">
        <v>0</v>
      </c>
      <c r="N73" s="10">
        <v>3</v>
      </c>
      <c r="O73" s="11">
        <v>1514</v>
      </c>
      <c r="P73" s="85">
        <v>2.0768175582990396</v>
      </c>
      <c r="Q73" s="11">
        <v>1514</v>
      </c>
      <c r="R73" s="85">
        <v>2.0768175582990396</v>
      </c>
      <c r="S73" s="29" t="s">
        <v>1998</v>
      </c>
      <c r="T73" s="29" t="s">
        <v>2030</v>
      </c>
    </row>
    <row r="74">
      <c r="B74" s="29" t="s">
        <v>1216</v>
      </c>
      <c r="C74" s="29" t="s">
        <v>1242</v>
      </c>
      <c r="D74" s="8" t="s">
        <v>1252</v>
      </c>
      <c r="E74" s="10" t="s">
        <v>1392</v>
      </c>
      <c r="F74" s="10"/>
      <c r="G74" s="10">
        <v>2</v>
      </c>
      <c r="H74" s="10">
        <v>1</v>
      </c>
      <c r="I74" s="10"/>
      <c r="J74" s="10">
        <v>729</v>
      </c>
      <c r="K74" s="104">
        <v>45673</v>
      </c>
      <c r="L74" s="104">
        <v>45706</v>
      </c>
      <c r="M74" s="10" t="b">
        <v>0</v>
      </c>
      <c r="N74" s="10">
        <v>34</v>
      </c>
      <c r="O74" s="11">
        <v>1519</v>
      </c>
      <c r="P74" s="85">
        <v>2.083676268861454</v>
      </c>
      <c r="Q74" s="11">
        <v>1519</v>
      </c>
      <c r="R74" s="85">
        <v>2.083676268861454</v>
      </c>
      <c r="S74" s="29" t="s">
        <v>1998</v>
      </c>
      <c r="T74" s="29" t="s">
        <v>2030</v>
      </c>
    </row>
    <row r="75">
      <c r="B75" s="29" t="s">
        <v>1216</v>
      </c>
      <c r="C75" s="29" t="s">
        <v>1242</v>
      </c>
      <c r="D75" s="8" t="s">
        <v>1252</v>
      </c>
      <c r="E75" s="10" t="s">
        <v>1393</v>
      </c>
      <c r="F75" s="10"/>
      <c r="G75" s="10">
        <v>2</v>
      </c>
      <c r="H75" s="10">
        <v>1</v>
      </c>
      <c r="I75" s="10"/>
      <c r="J75" s="10">
        <v>729</v>
      </c>
      <c r="K75" s="104">
        <v>45568</v>
      </c>
      <c r="L75" s="104">
        <v>45619</v>
      </c>
      <c r="M75" s="10" t="b">
        <v>0</v>
      </c>
      <c r="N75" s="10">
        <v>52</v>
      </c>
      <c r="O75" s="11">
        <v>1529</v>
      </c>
      <c r="P75" s="85">
        <v>2.0973936899862826</v>
      </c>
      <c r="Q75" s="11">
        <v>1529</v>
      </c>
      <c r="R75" s="85">
        <v>2.0973936899862826</v>
      </c>
      <c r="S75" s="29" t="s">
        <v>1998</v>
      </c>
      <c r="T75" s="29" t="s">
        <v>2030</v>
      </c>
    </row>
    <row r="76">
      <c r="B76" s="29" t="s">
        <v>1216</v>
      </c>
      <c r="C76" s="29" t="s">
        <v>1242</v>
      </c>
      <c r="D76" s="8" t="s">
        <v>1252</v>
      </c>
      <c r="E76" s="10" t="s">
        <v>1394</v>
      </c>
      <c r="F76" s="10"/>
      <c r="G76" s="10">
        <v>2</v>
      </c>
      <c r="H76" s="10">
        <v>1</v>
      </c>
      <c r="I76" s="10"/>
      <c r="J76" s="10">
        <v>729</v>
      </c>
      <c r="K76" s="104">
        <v>45414</v>
      </c>
      <c r="L76" s="104">
        <v>45465</v>
      </c>
      <c r="M76" s="10" t="b">
        <v>0</v>
      </c>
      <c r="N76" s="10">
        <v>52</v>
      </c>
      <c r="O76" s="11">
        <v>1529</v>
      </c>
      <c r="P76" s="85">
        <v>2.0973936899862826</v>
      </c>
      <c r="Q76" s="11">
        <v>1529</v>
      </c>
      <c r="R76" s="85">
        <v>2.0973936899862826</v>
      </c>
      <c r="S76" s="29" t="s">
        <v>1998</v>
      </c>
      <c r="T76" s="29" t="s">
        <v>2030</v>
      </c>
    </row>
    <row r="77">
      <c r="B77" s="29" t="s">
        <v>1216</v>
      </c>
      <c r="C77" s="29" t="s">
        <v>1242</v>
      </c>
      <c r="D77" s="8" t="s">
        <v>1252</v>
      </c>
      <c r="E77" s="10" t="s">
        <v>1395</v>
      </c>
      <c r="F77" s="10"/>
      <c r="G77" s="10">
        <v>2</v>
      </c>
      <c r="H77" s="10">
        <v>1</v>
      </c>
      <c r="I77" s="10"/>
      <c r="J77" s="10">
        <v>729</v>
      </c>
      <c r="K77" s="104">
        <v>45716</v>
      </c>
      <c r="L77" s="104">
        <v>45720</v>
      </c>
      <c r="M77" s="10" t="b">
        <v>0</v>
      </c>
      <c r="N77" s="10">
        <v>5</v>
      </c>
      <c r="O77" s="11">
        <v>1529</v>
      </c>
      <c r="P77" s="85">
        <v>2.0973936899862826</v>
      </c>
      <c r="Q77" s="11">
        <v>1529</v>
      </c>
      <c r="R77" s="85">
        <v>2.0973936899862826</v>
      </c>
      <c r="S77" s="29" t="s">
        <v>1998</v>
      </c>
      <c r="T77" s="29" t="s">
        <v>2030</v>
      </c>
    </row>
    <row r="78">
      <c r="B78" s="29" t="s">
        <v>1216</v>
      </c>
      <c r="C78" s="29" t="s">
        <v>1242</v>
      </c>
      <c r="D78" s="8" t="s">
        <v>1252</v>
      </c>
      <c r="E78" s="10" t="s">
        <v>1396</v>
      </c>
      <c r="F78" s="10"/>
      <c r="G78" s="10">
        <v>2</v>
      </c>
      <c r="H78" s="10">
        <v>1</v>
      </c>
      <c r="I78" s="10"/>
      <c r="J78" s="10">
        <v>729</v>
      </c>
      <c r="K78" s="104">
        <v>45628</v>
      </c>
      <c r="L78" s="104">
        <v>45763</v>
      </c>
      <c r="M78" s="10" t="b">
        <v>0</v>
      </c>
      <c r="N78" s="10">
        <v>136</v>
      </c>
      <c r="O78" s="11">
        <v>1539</v>
      </c>
      <c r="P78" s="85">
        <v>2.111111111111111</v>
      </c>
      <c r="Q78" s="11">
        <v>1539</v>
      </c>
      <c r="R78" s="85">
        <v>2.111111111111111</v>
      </c>
      <c r="S78" s="29" t="s">
        <v>1998</v>
      </c>
      <c r="T78" s="29" t="s">
        <v>2030</v>
      </c>
    </row>
    <row r="79">
      <c r="B79" s="29" t="s">
        <v>1216</v>
      </c>
      <c r="C79" s="29" t="s">
        <v>1242</v>
      </c>
      <c r="D79" s="8" t="s">
        <v>1252</v>
      </c>
      <c r="E79" s="10" t="s">
        <v>1397</v>
      </c>
      <c r="F79" s="10"/>
      <c r="G79" s="10">
        <v>2</v>
      </c>
      <c r="H79" s="10">
        <v>1</v>
      </c>
      <c r="I79" s="10"/>
      <c r="J79" s="10">
        <v>729</v>
      </c>
      <c r="K79" s="104">
        <v>45504</v>
      </c>
      <c r="L79" s="104">
        <v>45520</v>
      </c>
      <c r="M79" s="10" t="b">
        <v>0</v>
      </c>
      <c r="N79" s="10">
        <v>17</v>
      </c>
      <c r="O79" s="11">
        <v>1579</v>
      </c>
      <c r="P79" s="85">
        <v>2.1659807956104253</v>
      </c>
      <c r="Q79" s="11">
        <v>1579</v>
      </c>
      <c r="R79" s="85">
        <v>2.1659807956104253</v>
      </c>
      <c r="S79" s="29" t="s">
        <v>1998</v>
      </c>
      <c r="T79" s="29" t="s">
        <v>2030</v>
      </c>
    </row>
    <row r="80">
      <c r="B80" s="29" t="s">
        <v>1216</v>
      </c>
      <c r="C80" s="29" t="s">
        <v>1242</v>
      </c>
      <c r="D80" s="8" t="s">
        <v>1252</v>
      </c>
      <c r="E80" s="10" t="s">
        <v>1398</v>
      </c>
      <c r="F80" s="10"/>
      <c r="G80" s="10">
        <v>2</v>
      </c>
      <c r="H80" s="10">
        <v>1</v>
      </c>
      <c r="I80" s="10"/>
      <c r="J80" s="10">
        <v>729</v>
      </c>
      <c r="K80" s="104">
        <v>45448</v>
      </c>
      <c r="L80" s="104">
        <v>45492</v>
      </c>
      <c r="M80" s="10" t="b">
        <v>0</v>
      </c>
      <c r="N80" s="10">
        <v>45</v>
      </c>
      <c r="O80" s="11">
        <v>1589</v>
      </c>
      <c r="P80" s="85">
        <v>2.179698216735254</v>
      </c>
      <c r="Q80" s="11">
        <v>1589</v>
      </c>
      <c r="R80" s="85">
        <v>2.179698216735254</v>
      </c>
      <c r="S80" s="29" t="s">
        <v>1998</v>
      </c>
      <c r="T80" s="29" t="s">
        <v>2030</v>
      </c>
    </row>
    <row r="81">
      <c r="B81" s="29" t="s">
        <v>1216</v>
      </c>
      <c r="C81" s="29" t="s">
        <v>1242</v>
      </c>
      <c r="D81" s="8" t="s">
        <v>1252</v>
      </c>
      <c r="E81" s="10" t="s">
        <v>1399</v>
      </c>
      <c r="F81" s="10"/>
      <c r="G81" s="10">
        <v>2</v>
      </c>
      <c r="H81" s="10">
        <v>1</v>
      </c>
      <c r="I81" s="10"/>
      <c r="J81" s="10">
        <v>729</v>
      </c>
      <c r="K81" s="104">
        <v>45716</v>
      </c>
      <c r="L81" s="104">
        <v>45779</v>
      </c>
      <c r="M81" s="10" t="b">
        <v>0</v>
      </c>
      <c r="N81" s="10">
        <v>64</v>
      </c>
      <c r="O81" s="11">
        <v>1599</v>
      </c>
      <c r="P81" s="85">
        <v>2.1934156378600824</v>
      </c>
      <c r="Q81" s="11">
        <v>1599</v>
      </c>
      <c r="R81" s="85">
        <v>2.1934156378600824</v>
      </c>
      <c r="S81" s="29" t="s">
        <v>1998</v>
      </c>
      <c r="T81" s="29" t="s">
        <v>2030</v>
      </c>
    </row>
    <row r="82">
      <c r="B82" s="29" t="s">
        <v>1216</v>
      </c>
      <c r="C82" s="29" t="s">
        <v>1242</v>
      </c>
      <c r="D82" s="8" t="s">
        <v>1252</v>
      </c>
      <c r="E82" s="10" t="s">
        <v>1400</v>
      </c>
      <c r="F82" s="10"/>
      <c r="G82" s="10">
        <v>2</v>
      </c>
      <c r="H82" s="10">
        <v>1</v>
      </c>
      <c r="I82" s="10"/>
      <c r="J82" s="10">
        <v>729</v>
      </c>
      <c r="K82" s="104">
        <v>45493</v>
      </c>
      <c r="L82" s="104">
        <v>45495</v>
      </c>
      <c r="M82" s="10" t="b">
        <v>0</v>
      </c>
      <c r="N82" s="10">
        <v>3</v>
      </c>
      <c r="O82" s="11">
        <v>1624</v>
      </c>
      <c r="P82" s="85">
        <v>2.2277091906721536</v>
      </c>
      <c r="Q82" s="11">
        <v>1624</v>
      </c>
      <c r="R82" s="85">
        <v>2.2277091906721536</v>
      </c>
      <c r="S82" s="29" t="s">
        <v>1998</v>
      </c>
      <c r="T82" s="29" t="s">
        <v>2030</v>
      </c>
    </row>
    <row r="83">
      <c r="B83" s="29" t="s">
        <v>1216</v>
      </c>
      <c r="C83" s="29" t="s">
        <v>1242</v>
      </c>
      <c r="D83" s="8" t="s">
        <v>1252</v>
      </c>
      <c r="E83" s="10" t="s">
        <v>1401</v>
      </c>
      <c r="F83" s="10"/>
      <c r="G83" s="10">
        <v>2</v>
      </c>
      <c r="H83" s="10">
        <v>1</v>
      </c>
      <c r="I83" s="10"/>
      <c r="J83" s="10">
        <v>729</v>
      </c>
      <c r="K83" s="104">
        <v>45779</v>
      </c>
      <c r="L83" s="104">
        <v>45783</v>
      </c>
      <c r="M83" s="10" t="b">
        <v>0</v>
      </c>
      <c r="N83" s="10">
        <v>5</v>
      </c>
      <c r="O83" s="11">
        <v>1639</v>
      </c>
      <c r="P83" s="85">
        <v>2.2482853223593966</v>
      </c>
      <c r="Q83" s="11">
        <v>1639</v>
      </c>
      <c r="R83" s="85">
        <v>2.2482853223593966</v>
      </c>
      <c r="S83" s="29" t="s">
        <v>1998</v>
      </c>
      <c r="T83" s="29" t="s">
        <v>2030</v>
      </c>
    </row>
    <row r="84">
      <c r="B84" s="29" t="s">
        <v>1216</v>
      </c>
      <c r="C84" s="29" t="s">
        <v>1242</v>
      </c>
      <c r="D84" s="8" t="s">
        <v>1253</v>
      </c>
      <c r="E84" s="10" t="s">
        <v>1402</v>
      </c>
      <c r="F84" s="10"/>
      <c r="G84" s="10">
        <v>2</v>
      </c>
      <c r="H84" s="10">
        <v>2</v>
      </c>
      <c r="I84" s="10"/>
      <c r="J84" s="10">
        <v>745</v>
      </c>
      <c r="K84" s="104">
        <v>45115</v>
      </c>
      <c r="L84" s="104">
        <v>45128</v>
      </c>
      <c r="M84" s="10" t="b">
        <v>0</v>
      </c>
      <c r="N84" s="10">
        <v>14</v>
      </c>
      <c r="O84" s="11">
        <v>1449</v>
      </c>
      <c r="P84" s="85">
        <v>1.9449664429530202</v>
      </c>
      <c r="Q84" s="11">
        <v>1449</v>
      </c>
      <c r="R84" s="85">
        <v>1.9449664429530202</v>
      </c>
      <c r="S84" s="29" t="s">
        <v>1998</v>
      </c>
      <c r="T84" s="29" t="s">
        <v>1998</v>
      </c>
    </row>
    <row r="85">
      <c r="B85" s="29" t="s">
        <v>1216</v>
      </c>
      <c r="C85" s="29" t="s">
        <v>1242</v>
      </c>
      <c r="D85" s="8" t="s">
        <v>1253</v>
      </c>
      <c r="E85" s="10" t="s">
        <v>1403</v>
      </c>
      <c r="F85" s="10"/>
      <c r="G85" s="10">
        <v>2</v>
      </c>
      <c r="H85" s="10">
        <v>2</v>
      </c>
      <c r="I85" s="10"/>
      <c r="J85" s="10">
        <v>745</v>
      </c>
      <c r="K85" s="104">
        <v>45129</v>
      </c>
      <c r="L85" s="104">
        <v>45181</v>
      </c>
      <c r="M85" s="10" t="b">
        <v>0</v>
      </c>
      <c r="N85" s="10">
        <v>53</v>
      </c>
      <c r="O85" s="11">
        <v>1469</v>
      </c>
      <c r="P85" s="85">
        <v>1.9718120805369128</v>
      </c>
      <c r="Q85" s="11">
        <v>1469</v>
      </c>
      <c r="R85" s="85">
        <v>1.9718120805369128</v>
      </c>
      <c r="S85" s="29" t="s">
        <v>1998</v>
      </c>
      <c r="T85" s="29" t="s">
        <v>1998</v>
      </c>
    </row>
    <row r="86">
      <c r="B86" s="29" t="s">
        <v>1216</v>
      </c>
      <c r="C86" s="29" t="s">
        <v>1242</v>
      </c>
      <c r="D86" s="8" t="s">
        <v>1253</v>
      </c>
      <c r="E86" s="10" t="s">
        <v>1404</v>
      </c>
      <c r="F86" s="10"/>
      <c r="G86" s="10">
        <v>2</v>
      </c>
      <c r="H86" s="10">
        <v>2</v>
      </c>
      <c r="I86" s="10"/>
      <c r="J86" s="10">
        <v>745</v>
      </c>
      <c r="K86" s="104">
        <v>45106</v>
      </c>
      <c r="L86" s="104">
        <v>45153</v>
      </c>
      <c r="M86" s="10" t="b">
        <v>0</v>
      </c>
      <c r="N86" s="10">
        <v>48</v>
      </c>
      <c r="O86" s="11">
        <v>1489</v>
      </c>
      <c r="P86" s="85">
        <v>1.9986577181208054</v>
      </c>
      <c r="Q86" s="11">
        <v>1489</v>
      </c>
      <c r="R86" s="85">
        <v>1.9986577181208054</v>
      </c>
      <c r="S86" s="29" t="s">
        <v>1998</v>
      </c>
      <c r="T86" s="29" t="s">
        <v>1998</v>
      </c>
    </row>
    <row r="87">
      <c r="B87" s="29" t="s">
        <v>1216</v>
      </c>
      <c r="C87" s="29" t="s">
        <v>1242</v>
      </c>
      <c r="D87" s="8" t="s">
        <v>1253</v>
      </c>
      <c r="E87" s="10" t="s">
        <v>1405</v>
      </c>
      <c r="F87" s="10"/>
      <c r="G87" s="10">
        <v>2</v>
      </c>
      <c r="H87" s="10">
        <v>2</v>
      </c>
      <c r="I87" s="10"/>
      <c r="J87" s="10">
        <v>745</v>
      </c>
      <c r="K87" s="104">
        <v>45448</v>
      </c>
      <c r="L87" s="104">
        <v>45595</v>
      </c>
      <c r="M87" s="10" t="b">
        <v>0</v>
      </c>
      <c r="N87" s="10">
        <v>148</v>
      </c>
      <c r="O87" s="11">
        <v>1499</v>
      </c>
      <c r="P87" s="85">
        <v>2.0120805369127517</v>
      </c>
      <c r="Q87" s="11">
        <v>1499</v>
      </c>
      <c r="R87" s="85">
        <v>2.0120805369127517</v>
      </c>
      <c r="S87" s="29" t="s">
        <v>1998</v>
      </c>
      <c r="T87" s="29" t="s">
        <v>2030</v>
      </c>
    </row>
    <row r="88">
      <c r="B88" s="29" t="s">
        <v>1216</v>
      </c>
      <c r="C88" s="29" t="s">
        <v>1242</v>
      </c>
      <c r="D88" s="8" t="s">
        <v>1253</v>
      </c>
      <c r="E88" s="10" t="s">
        <v>1406</v>
      </c>
      <c r="F88" s="10"/>
      <c r="G88" s="10">
        <v>2</v>
      </c>
      <c r="H88" s="10">
        <v>2</v>
      </c>
      <c r="I88" s="10"/>
      <c r="J88" s="10">
        <v>745</v>
      </c>
      <c r="K88" s="104">
        <v>45295</v>
      </c>
      <c r="L88" s="104">
        <v>45301</v>
      </c>
      <c r="M88" s="10" t="b">
        <v>0</v>
      </c>
      <c r="N88" s="10">
        <v>7</v>
      </c>
      <c r="O88" s="11">
        <v>1499</v>
      </c>
      <c r="P88" s="85">
        <v>2.0120805369127517</v>
      </c>
      <c r="Q88" s="11">
        <v>1499</v>
      </c>
      <c r="R88" s="85">
        <v>2.0120805369127517</v>
      </c>
      <c r="S88" s="29" t="s">
        <v>1998</v>
      </c>
      <c r="T88" s="29" t="s">
        <v>1998</v>
      </c>
    </row>
    <row r="89">
      <c r="B89" s="29" t="s">
        <v>1216</v>
      </c>
      <c r="C89" s="29" t="s">
        <v>1242</v>
      </c>
      <c r="D89" s="8" t="s">
        <v>1253</v>
      </c>
      <c r="E89" s="10" t="s">
        <v>1407</v>
      </c>
      <c r="F89" s="10"/>
      <c r="G89" s="10">
        <v>2</v>
      </c>
      <c r="H89" s="10">
        <v>2</v>
      </c>
      <c r="I89" s="10"/>
      <c r="J89" s="10">
        <v>745</v>
      </c>
      <c r="K89" s="104">
        <v>45377</v>
      </c>
      <c r="L89" s="104">
        <v>45415</v>
      </c>
      <c r="M89" s="10" t="b">
        <v>0</v>
      </c>
      <c r="N89" s="10">
        <v>39</v>
      </c>
      <c r="O89" s="11">
        <v>1499</v>
      </c>
      <c r="P89" s="85">
        <v>2.0120805369127517</v>
      </c>
      <c r="Q89" s="11">
        <v>1499</v>
      </c>
      <c r="R89" s="85">
        <v>2.0120805369127517</v>
      </c>
      <c r="S89" s="29" t="s">
        <v>1998</v>
      </c>
      <c r="T89" s="29" t="s">
        <v>2030</v>
      </c>
    </row>
    <row r="90">
      <c r="B90" s="29" t="s">
        <v>1216</v>
      </c>
      <c r="C90" s="29" t="s">
        <v>1242</v>
      </c>
      <c r="D90" s="8" t="s">
        <v>1253</v>
      </c>
      <c r="E90" s="10" t="s">
        <v>1408</v>
      </c>
      <c r="F90" s="10"/>
      <c r="G90" s="10">
        <v>2</v>
      </c>
      <c r="H90" s="10">
        <v>2</v>
      </c>
      <c r="I90" s="10"/>
      <c r="J90" s="10">
        <v>745</v>
      </c>
      <c r="K90" s="104">
        <v>45398</v>
      </c>
      <c r="L90" s="104">
        <v>45693</v>
      </c>
      <c r="M90" s="10" t="b">
        <v>0</v>
      </c>
      <c r="N90" s="10">
        <v>296</v>
      </c>
      <c r="O90" s="11">
        <v>1509</v>
      </c>
      <c r="P90" s="85">
        <v>2.025503355704698</v>
      </c>
      <c r="Q90" s="11">
        <v>1509</v>
      </c>
      <c r="R90" s="85">
        <v>2.025503355704698</v>
      </c>
      <c r="S90" s="29" t="s">
        <v>1998</v>
      </c>
      <c r="T90" s="29" t="s">
        <v>2030</v>
      </c>
    </row>
    <row r="91">
      <c r="B91" s="29" t="s">
        <v>1216</v>
      </c>
      <c r="C91" s="29" t="s">
        <v>1242</v>
      </c>
      <c r="D91" s="8" t="s">
        <v>1253</v>
      </c>
      <c r="E91" s="10" t="s">
        <v>1409</v>
      </c>
      <c r="F91" s="10"/>
      <c r="G91" s="10">
        <v>2</v>
      </c>
      <c r="H91" s="10">
        <v>2</v>
      </c>
      <c r="I91" s="10"/>
      <c r="J91" s="10">
        <v>745</v>
      </c>
      <c r="K91" s="104">
        <v>45590</v>
      </c>
      <c r="L91" s="104">
        <v>45717</v>
      </c>
      <c r="M91" s="10" t="b">
        <v>0</v>
      </c>
      <c r="N91" s="10">
        <v>128</v>
      </c>
      <c r="O91" s="11">
        <v>1509</v>
      </c>
      <c r="P91" s="85">
        <v>2.025503355704698</v>
      </c>
      <c r="Q91" s="11">
        <v>1509</v>
      </c>
      <c r="R91" s="85">
        <v>2.025503355704698</v>
      </c>
      <c r="S91" s="29" t="s">
        <v>1998</v>
      </c>
      <c r="T91" s="29" t="s">
        <v>2030</v>
      </c>
    </row>
    <row r="92">
      <c r="B92" s="29" t="s">
        <v>1216</v>
      </c>
      <c r="C92" s="29" t="s">
        <v>1242</v>
      </c>
      <c r="D92" s="8" t="s">
        <v>1253</v>
      </c>
      <c r="E92" s="10" t="s">
        <v>1410</v>
      </c>
      <c r="F92" s="10"/>
      <c r="G92" s="10">
        <v>2</v>
      </c>
      <c r="H92" s="10">
        <v>2</v>
      </c>
      <c r="I92" s="10"/>
      <c r="J92" s="10">
        <v>745</v>
      </c>
      <c r="K92" s="104">
        <v>45272</v>
      </c>
      <c r="L92" s="104">
        <v>45290</v>
      </c>
      <c r="M92" s="10" t="b">
        <v>0</v>
      </c>
      <c r="N92" s="10">
        <v>19</v>
      </c>
      <c r="O92" s="11">
        <v>1514</v>
      </c>
      <c r="P92" s="85">
        <v>2.032214765100671</v>
      </c>
      <c r="Q92" s="11">
        <v>1514</v>
      </c>
      <c r="R92" s="85">
        <v>2.032214765100671</v>
      </c>
      <c r="S92" s="29" t="s">
        <v>1998</v>
      </c>
      <c r="T92" s="29" t="s">
        <v>1998</v>
      </c>
    </row>
    <row r="93">
      <c r="B93" s="29" t="s">
        <v>1216</v>
      </c>
      <c r="C93" s="29" t="s">
        <v>1242</v>
      </c>
      <c r="D93" s="8" t="s">
        <v>1253</v>
      </c>
      <c r="E93" s="10" t="s">
        <v>1411</v>
      </c>
      <c r="F93" s="10"/>
      <c r="G93" s="10">
        <v>2</v>
      </c>
      <c r="H93" s="10">
        <v>2</v>
      </c>
      <c r="I93" s="10"/>
      <c r="J93" s="10">
        <v>745</v>
      </c>
      <c r="K93" s="104">
        <v>45160</v>
      </c>
      <c r="L93" s="104">
        <v>45249</v>
      </c>
      <c r="M93" s="10" t="b">
        <v>0</v>
      </c>
      <c r="N93" s="10">
        <v>90</v>
      </c>
      <c r="O93" s="11">
        <v>1519</v>
      </c>
      <c r="P93" s="85">
        <v>2.0389261744966443</v>
      </c>
      <c r="Q93" s="11">
        <v>1519</v>
      </c>
      <c r="R93" s="85">
        <v>2.0389261744966443</v>
      </c>
      <c r="S93" s="29" t="s">
        <v>1998</v>
      </c>
      <c r="T93" s="29" t="s">
        <v>1998</v>
      </c>
    </row>
    <row r="94">
      <c r="B94" s="29" t="s">
        <v>1216</v>
      </c>
      <c r="C94" s="29" t="s">
        <v>1242</v>
      </c>
      <c r="D94" s="8" t="s">
        <v>1253</v>
      </c>
      <c r="E94" s="10" t="s">
        <v>1412</v>
      </c>
      <c r="F94" s="10"/>
      <c r="G94" s="10">
        <v>2</v>
      </c>
      <c r="H94" s="10">
        <v>2</v>
      </c>
      <c r="I94" s="10"/>
      <c r="J94" s="10">
        <v>745</v>
      </c>
      <c r="K94" s="104">
        <v>45155</v>
      </c>
      <c r="L94" s="104">
        <v>45378</v>
      </c>
      <c r="M94" s="10" t="b">
        <v>0</v>
      </c>
      <c r="N94" s="10">
        <v>224</v>
      </c>
      <c r="O94" s="11">
        <v>1529</v>
      </c>
      <c r="P94" s="85">
        <v>2.0523489932885908</v>
      </c>
      <c r="Q94" s="11">
        <v>1529</v>
      </c>
      <c r="R94" s="85">
        <v>2.0523489932885908</v>
      </c>
      <c r="S94" s="29" t="s">
        <v>1998</v>
      </c>
      <c r="T94" s="29" t="s">
        <v>2030</v>
      </c>
    </row>
    <row r="95">
      <c r="B95" s="29" t="s">
        <v>1216</v>
      </c>
      <c r="C95" s="29" t="s">
        <v>1242</v>
      </c>
      <c r="D95" s="8" t="s">
        <v>1253</v>
      </c>
      <c r="E95" s="10" t="s">
        <v>1413</v>
      </c>
      <c r="F95" s="10"/>
      <c r="G95" s="10">
        <v>2</v>
      </c>
      <c r="H95" s="10">
        <v>2</v>
      </c>
      <c r="I95" s="10"/>
      <c r="J95" s="10">
        <v>745</v>
      </c>
      <c r="K95" s="104">
        <v>45658</v>
      </c>
      <c r="L95" s="104">
        <v>45758</v>
      </c>
      <c r="M95" s="10" t="b">
        <v>0</v>
      </c>
      <c r="N95" s="10">
        <v>101</v>
      </c>
      <c r="O95" s="11">
        <v>1529</v>
      </c>
      <c r="P95" s="85">
        <v>2.0523489932885908</v>
      </c>
      <c r="Q95" s="11">
        <v>1529</v>
      </c>
      <c r="R95" s="85">
        <v>2.0523489932885908</v>
      </c>
      <c r="S95" s="29" t="s">
        <v>1998</v>
      </c>
      <c r="T95" s="29" t="s">
        <v>2030</v>
      </c>
    </row>
    <row r="96">
      <c r="B96" s="29" t="s">
        <v>1216</v>
      </c>
      <c r="C96" s="29" t="s">
        <v>1242</v>
      </c>
      <c r="D96" s="8" t="s">
        <v>1253</v>
      </c>
      <c r="E96" s="10" t="s">
        <v>1414</v>
      </c>
      <c r="F96" s="10"/>
      <c r="G96" s="10">
        <v>2</v>
      </c>
      <c r="H96" s="10">
        <v>2</v>
      </c>
      <c r="I96" s="10"/>
      <c r="J96" s="10">
        <v>745</v>
      </c>
      <c r="K96" s="104">
        <v>45574</v>
      </c>
      <c r="L96" s="104">
        <v>45750</v>
      </c>
      <c r="M96" s="10" t="b">
        <v>0</v>
      </c>
      <c r="N96" s="10">
        <v>177</v>
      </c>
      <c r="O96" s="11">
        <v>1529</v>
      </c>
      <c r="P96" s="85">
        <v>2.0523489932885908</v>
      </c>
      <c r="Q96" s="11">
        <v>1529</v>
      </c>
      <c r="R96" s="85">
        <v>2.0523489932885908</v>
      </c>
      <c r="S96" s="29" t="s">
        <v>1998</v>
      </c>
      <c r="T96" s="29" t="s">
        <v>2030</v>
      </c>
    </row>
    <row r="97">
      <c r="B97" s="29" t="s">
        <v>1216</v>
      </c>
      <c r="C97" s="29" t="s">
        <v>1242</v>
      </c>
      <c r="D97" s="8" t="s">
        <v>1253</v>
      </c>
      <c r="E97" s="10" t="s">
        <v>1415</v>
      </c>
      <c r="F97" s="10"/>
      <c r="G97" s="10">
        <v>2</v>
      </c>
      <c r="H97" s="10">
        <v>2</v>
      </c>
      <c r="I97" s="10"/>
      <c r="J97" s="10">
        <v>745</v>
      </c>
      <c r="K97" s="104">
        <v>45505</v>
      </c>
      <c r="L97" s="104">
        <v>45615</v>
      </c>
      <c r="M97" s="10" t="b">
        <v>0</v>
      </c>
      <c r="N97" s="10">
        <v>111</v>
      </c>
      <c r="O97" s="11">
        <v>1529</v>
      </c>
      <c r="P97" s="85">
        <v>2.0523489932885908</v>
      </c>
      <c r="Q97" s="11">
        <v>1529</v>
      </c>
      <c r="R97" s="85">
        <v>2.0523489932885908</v>
      </c>
      <c r="S97" s="29" t="s">
        <v>1998</v>
      </c>
      <c r="T97" s="29" t="s">
        <v>2030</v>
      </c>
    </row>
    <row r="98">
      <c r="B98" s="29" t="s">
        <v>1216</v>
      </c>
      <c r="C98" s="29" t="s">
        <v>1242</v>
      </c>
      <c r="D98" s="8" t="s">
        <v>1253</v>
      </c>
      <c r="E98" s="10" t="s">
        <v>1416</v>
      </c>
      <c r="F98" s="10"/>
      <c r="G98" s="10">
        <v>2</v>
      </c>
      <c r="H98" s="10">
        <v>2</v>
      </c>
      <c r="I98" s="10"/>
      <c r="J98" s="10">
        <v>745</v>
      </c>
      <c r="K98" s="104">
        <v>45437</v>
      </c>
      <c r="L98" s="104">
        <v>45448</v>
      </c>
      <c r="M98" s="10" t="b">
        <v>0</v>
      </c>
      <c r="N98" s="10">
        <v>12</v>
      </c>
      <c r="O98" s="11">
        <v>1549</v>
      </c>
      <c r="P98" s="85">
        <v>2.0791946308724834</v>
      </c>
      <c r="Q98" s="11">
        <v>1549</v>
      </c>
      <c r="R98" s="85">
        <v>2.0791946308724834</v>
      </c>
      <c r="S98" s="29" t="s">
        <v>1998</v>
      </c>
      <c r="T98" s="29" t="s">
        <v>2030</v>
      </c>
    </row>
    <row r="99">
      <c r="B99" s="29" t="s">
        <v>1216</v>
      </c>
      <c r="C99" s="29" t="s">
        <v>1242</v>
      </c>
      <c r="D99" s="8" t="s">
        <v>1253</v>
      </c>
      <c r="E99" s="10" t="s">
        <v>1417</v>
      </c>
      <c r="F99" s="10"/>
      <c r="G99" s="10">
        <v>2</v>
      </c>
      <c r="H99" s="10">
        <v>2</v>
      </c>
      <c r="I99" s="10"/>
      <c r="J99" s="10">
        <v>745</v>
      </c>
      <c r="K99" s="104">
        <v>45720</v>
      </c>
      <c r="L99" s="104"/>
      <c r="M99" s="10" t="b">
        <v>1</v>
      </c>
      <c r="N99" s="10"/>
      <c r="O99" s="11">
        <v>1549</v>
      </c>
      <c r="P99" s="85">
        <v>2.0791946308724834</v>
      </c>
      <c r="Q99" s="11">
        <v>1549</v>
      </c>
      <c r="R99" s="85">
        <v>2.0791946308724834</v>
      </c>
      <c r="S99" s="29" t="s">
        <v>1998</v>
      </c>
      <c r="T99" s="29" t="s">
        <v>2030</v>
      </c>
    </row>
    <row r="100">
      <c r="B100" s="29" t="s">
        <v>1216</v>
      </c>
      <c r="C100" s="29" t="s">
        <v>1242</v>
      </c>
      <c r="D100" s="8" t="s">
        <v>1253</v>
      </c>
      <c r="E100" s="10" t="s">
        <v>1418</v>
      </c>
      <c r="F100" s="10"/>
      <c r="G100" s="10">
        <v>2</v>
      </c>
      <c r="H100" s="10">
        <v>2</v>
      </c>
      <c r="I100" s="10"/>
      <c r="J100" s="10">
        <v>745</v>
      </c>
      <c r="K100" s="104">
        <v>45441</v>
      </c>
      <c r="L100" s="104">
        <v>45488</v>
      </c>
      <c r="M100" s="10" t="b">
        <v>0</v>
      </c>
      <c r="N100" s="10">
        <v>48</v>
      </c>
      <c r="O100" s="11">
        <v>1569</v>
      </c>
      <c r="P100" s="85">
        <v>2.106040268456376</v>
      </c>
      <c r="Q100" s="11">
        <v>1569</v>
      </c>
      <c r="R100" s="85">
        <v>2.106040268456376</v>
      </c>
      <c r="S100" s="29" t="s">
        <v>1998</v>
      </c>
      <c r="T100" s="29" t="s">
        <v>2030</v>
      </c>
    </row>
    <row r="101">
      <c r="B101" s="29" t="s">
        <v>1216</v>
      </c>
      <c r="C101" s="29" t="s">
        <v>1242</v>
      </c>
      <c r="D101" s="8" t="s">
        <v>1253</v>
      </c>
      <c r="E101" s="10" t="s">
        <v>1419</v>
      </c>
      <c r="F101" s="10"/>
      <c r="G101" s="10">
        <v>2</v>
      </c>
      <c r="H101" s="10">
        <v>2</v>
      </c>
      <c r="I101" s="10"/>
      <c r="J101" s="10">
        <v>745</v>
      </c>
      <c r="K101" s="104">
        <v>45771</v>
      </c>
      <c r="L101" s="104">
        <v>45776</v>
      </c>
      <c r="M101" s="10" t="b">
        <v>0</v>
      </c>
      <c r="N101" s="10">
        <v>6</v>
      </c>
      <c r="O101" s="11">
        <v>1579</v>
      </c>
      <c r="P101" s="85">
        <v>2.119463087248322</v>
      </c>
      <c r="Q101" s="11">
        <v>1579</v>
      </c>
      <c r="R101" s="85">
        <v>2.119463087248322</v>
      </c>
      <c r="S101" s="29" t="s">
        <v>1998</v>
      </c>
      <c r="T101" s="29" t="s">
        <v>2030</v>
      </c>
    </row>
    <row r="102">
      <c r="B102" s="29" t="s">
        <v>1216</v>
      </c>
      <c r="C102" s="29" t="s">
        <v>1242</v>
      </c>
      <c r="D102" s="8" t="s">
        <v>1253</v>
      </c>
      <c r="E102" s="10" t="s">
        <v>1420</v>
      </c>
      <c r="F102" s="10"/>
      <c r="G102" s="10">
        <v>2</v>
      </c>
      <c r="H102" s="10">
        <v>2</v>
      </c>
      <c r="I102" s="10"/>
      <c r="J102" s="10">
        <v>745</v>
      </c>
      <c r="K102" s="104">
        <v>45682</v>
      </c>
      <c r="L102" s="104">
        <v>45721</v>
      </c>
      <c r="M102" s="10" t="b">
        <v>0</v>
      </c>
      <c r="N102" s="10">
        <v>40</v>
      </c>
      <c r="O102" s="11">
        <v>1589</v>
      </c>
      <c r="P102" s="85">
        <v>2.1328859060402685</v>
      </c>
      <c r="Q102" s="11">
        <v>1589</v>
      </c>
      <c r="R102" s="85">
        <v>2.1328859060402685</v>
      </c>
      <c r="S102" s="29" t="s">
        <v>1998</v>
      </c>
      <c r="T102" s="29" t="s">
        <v>2030</v>
      </c>
    </row>
    <row r="103">
      <c r="B103" s="29" t="s">
        <v>1216</v>
      </c>
      <c r="C103" s="29" t="s">
        <v>1242</v>
      </c>
      <c r="D103" s="8" t="s">
        <v>1253</v>
      </c>
      <c r="E103" s="10" t="s">
        <v>1421</v>
      </c>
      <c r="F103" s="10"/>
      <c r="G103" s="10">
        <v>2</v>
      </c>
      <c r="H103" s="10">
        <v>2</v>
      </c>
      <c r="I103" s="10"/>
      <c r="J103" s="10">
        <v>745</v>
      </c>
      <c r="K103" s="104">
        <v>45476</v>
      </c>
      <c r="L103" s="104">
        <v>45520</v>
      </c>
      <c r="M103" s="10" t="b">
        <v>0</v>
      </c>
      <c r="N103" s="10">
        <v>45</v>
      </c>
      <c r="O103" s="11">
        <v>1599</v>
      </c>
      <c r="P103" s="85">
        <v>2.1463087248322146</v>
      </c>
      <c r="Q103" s="11">
        <v>1599</v>
      </c>
      <c r="R103" s="85">
        <v>2.1463087248322146</v>
      </c>
      <c r="S103" s="29" t="s">
        <v>1998</v>
      </c>
      <c r="T103" s="29" t="s">
        <v>2030</v>
      </c>
    </row>
    <row r="104">
      <c r="B104" s="29" t="s">
        <v>1216</v>
      </c>
      <c r="C104" s="29" t="s">
        <v>1242</v>
      </c>
      <c r="D104" s="8" t="s">
        <v>1253</v>
      </c>
      <c r="E104" s="10" t="s">
        <v>1422</v>
      </c>
      <c r="F104" s="10"/>
      <c r="G104" s="10">
        <v>2</v>
      </c>
      <c r="H104" s="10">
        <v>2</v>
      </c>
      <c r="I104" s="10"/>
      <c r="J104" s="10">
        <v>745</v>
      </c>
      <c r="K104" s="104">
        <v>45520</v>
      </c>
      <c r="L104" s="104">
        <v>45540</v>
      </c>
      <c r="M104" s="10" t="b">
        <v>0</v>
      </c>
      <c r="N104" s="10">
        <v>21</v>
      </c>
      <c r="O104" s="11">
        <v>1629</v>
      </c>
      <c r="P104" s="85">
        <v>2.1865771812080537</v>
      </c>
      <c r="Q104" s="11">
        <v>1629</v>
      </c>
      <c r="R104" s="85">
        <v>2.1865771812080537</v>
      </c>
      <c r="S104" s="29" t="s">
        <v>1998</v>
      </c>
      <c r="T104" s="29" t="s">
        <v>2030</v>
      </c>
    </row>
    <row r="105">
      <c r="B105" s="29" t="s">
        <v>1216</v>
      </c>
      <c r="C105" s="29" t="s">
        <v>1242</v>
      </c>
      <c r="D105" s="8" t="s">
        <v>1254</v>
      </c>
      <c r="E105" s="10" t="s">
        <v>1423</v>
      </c>
      <c r="F105" s="10"/>
      <c r="G105" s="10">
        <v>3</v>
      </c>
      <c r="H105" s="10">
        <v>1</v>
      </c>
      <c r="I105" s="10"/>
      <c r="J105" s="10">
        <v>800</v>
      </c>
      <c r="K105" s="104">
        <v>45378</v>
      </c>
      <c r="L105" s="104">
        <v>45388</v>
      </c>
      <c r="M105" s="10" t="b">
        <v>0</v>
      </c>
      <c r="N105" s="10">
        <v>11</v>
      </c>
      <c r="O105" s="11">
        <v>1829</v>
      </c>
      <c r="P105" s="85">
        <v>2.28625</v>
      </c>
      <c r="Q105" s="11">
        <v>1829</v>
      </c>
      <c r="R105" s="85">
        <v>2.28625</v>
      </c>
      <c r="S105" s="29" t="s">
        <v>1998</v>
      </c>
      <c r="T105" s="29" t="s">
        <v>2031</v>
      </c>
    </row>
    <row r="106">
      <c r="B106" s="29" t="s">
        <v>1216</v>
      </c>
      <c r="C106" s="29" t="s">
        <v>1242</v>
      </c>
      <c r="D106" s="8" t="s">
        <v>1254</v>
      </c>
      <c r="E106" s="10" t="s">
        <v>1424</v>
      </c>
      <c r="F106" s="10"/>
      <c r="G106" s="10">
        <v>3</v>
      </c>
      <c r="H106" s="10">
        <v>1</v>
      </c>
      <c r="I106" s="10"/>
      <c r="J106" s="10">
        <v>800</v>
      </c>
      <c r="K106" s="104">
        <v>45722</v>
      </c>
      <c r="L106" s="104">
        <v>45723</v>
      </c>
      <c r="M106" s="10" t="b">
        <v>0</v>
      </c>
      <c r="N106" s="10">
        <v>2</v>
      </c>
      <c r="O106" s="11">
        <v>1849</v>
      </c>
      <c r="P106" s="85">
        <v>2.31125</v>
      </c>
      <c r="Q106" s="11">
        <v>1849</v>
      </c>
      <c r="R106" s="85">
        <v>2.31125</v>
      </c>
      <c r="S106" s="29" t="s">
        <v>1998</v>
      </c>
      <c r="T106" s="29" t="s">
        <v>2031</v>
      </c>
    </row>
    <row r="107">
      <c r="B107" s="29" t="s">
        <v>1216</v>
      </c>
      <c r="C107" s="29" t="s">
        <v>1242</v>
      </c>
      <c r="D107" s="8" t="s">
        <v>1254</v>
      </c>
      <c r="E107" s="10" t="s">
        <v>1425</v>
      </c>
      <c r="F107" s="10"/>
      <c r="G107" s="10">
        <v>3</v>
      </c>
      <c r="H107" s="10">
        <v>1</v>
      </c>
      <c r="I107" s="10"/>
      <c r="J107" s="10">
        <v>800</v>
      </c>
      <c r="K107" s="104">
        <v>45489</v>
      </c>
      <c r="L107" s="104">
        <v>45509</v>
      </c>
      <c r="M107" s="10" t="b">
        <v>0</v>
      </c>
      <c r="N107" s="10">
        <v>21</v>
      </c>
      <c r="O107" s="11">
        <v>1854</v>
      </c>
      <c r="P107" s="85">
        <v>2.3175</v>
      </c>
      <c r="Q107" s="11">
        <v>1854</v>
      </c>
      <c r="R107" s="85">
        <v>2.3175</v>
      </c>
      <c r="S107" s="29" t="s">
        <v>1998</v>
      </c>
      <c r="T107" s="29" t="s">
        <v>2031</v>
      </c>
    </row>
    <row r="108">
      <c r="B108" s="29" t="s">
        <v>1216</v>
      </c>
      <c r="C108" s="29" t="s">
        <v>1242</v>
      </c>
      <c r="D108" s="8" t="s">
        <v>1254</v>
      </c>
      <c r="E108" s="10" t="s">
        <v>1426</v>
      </c>
      <c r="F108" s="10"/>
      <c r="G108" s="10">
        <v>3</v>
      </c>
      <c r="H108" s="10">
        <v>1</v>
      </c>
      <c r="I108" s="10"/>
      <c r="J108" s="10">
        <v>800</v>
      </c>
      <c r="K108" s="104">
        <v>45394</v>
      </c>
      <c r="L108" s="104">
        <v>45471</v>
      </c>
      <c r="M108" s="10" t="b">
        <v>0</v>
      </c>
      <c r="N108" s="10">
        <v>78</v>
      </c>
      <c r="O108" s="11">
        <v>1919</v>
      </c>
      <c r="P108" s="85">
        <v>2.39875</v>
      </c>
      <c r="Q108" s="11">
        <v>1919</v>
      </c>
      <c r="R108" s="85">
        <v>2.39875</v>
      </c>
      <c r="S108" s="29" t="s">
        <v>1998</v>
      </c>
      <c r="T108" s="29" t="s">
        <v>2031</v>
      </c>
    </row>
    <row r="109">
      <c r="B109" s="29" t="s">
        <v>1216</v>
      </c>
      <c r="C109" s="29" t="s">
        <v>1242</v>
      </c>
      <c r="D109" s="8" t="s">
        <v>1254</v>
      </c>
      <c r="E109" s="10" t="s">
        <v>1427</v>
      </c>
      <c r="F109" s="10"/>
      <c r="G109" s="10">
        <v>3</v>
      </c>
      <c r="H109" s="10">
        <v>1</v>
      </c>
      <c r="I109" s="10"/>
      <c r="J109" s="10">
        <v>800</v>
      </c>
      <c r="K109" s="104">
        <v>45657</v>
      </c>
      <c r="L109" s="104">
        <v>45768</v>
      </c>
      <c r="M109" s="10" t="b">
        <v>0</v>
      </c>
      <c r="N109" s="10">
        <v>112</v>
      </c>
      <c r="O109" s="11">
        <v>1939</v>
      </c>
      <c r="P109" s="85">
        <v>2.42375</v>
      </c>
      <c r="Q109" s="11">
        <v>1939</v>
      </c>
      <c r="R109" s="85">
        <v>2.42375</v>
      </c>
      <c r="S109" s="29" t="s">
        <v>1998</v>
      </c>
      <c r="T109" s="29" t="s">
        <v>2031</v>
      </c>
    </row>
    <row r="110">
      <c r="B110" s="29" t="s">
        <v>1216</v>
      </c>
      <c r="C110" s="29" t="s">
        <v>1242</v>
      </c>
      <c r="D110" s="8" t="s">
        <v>1254</v>
      </c>
      <c r="E110" s="10" t="s">
        <v>1428</v>
      </c>
      <c r="F110" s="10"/>
      <c r="G110" s="10">
        <v>3</v>
      </c>
      <c r="H110" s="10">
        <v>1</v>
      </c>
      <c r="I110" s="10"/>
      <c r="J110" s="10">
        <v>800</v>
      </c>
      <c r="K110" s="104">
        <v>45779</v>
      </c>
      <c r="L110" s="104"/>
      <c r="M110" s="10" t="b">
        <v>1</v>
      </c>
      <c r="N110" s="10"/>
      <c r="O110" s="11">
        <v>1979</v>
      </c>
      <c r="P110" s="85">
        <v>2.47375</v>
      </c>
      <c r="Q110" s="11">
        <v>1979</v>
      </c>
      <c r="R110" s="85">
        <v>2.47375</v>
      </c>
      <c r="S110" s="29" t="s">
        <v>1998</v>
      </c>
      <c r="T110" s="29" t="s">
        <v>2031</v>
      </c>
    </row>
    <row r="111">
      <c r="B111" s="29" t="s">
        <v>1217</v>
      </c>
      <c r="C111" s="29" t="s">
        <v>1243</v>
      </c>
      <c r="D111" s="8" t="s">
        <v>1255</v>
      </c>
      <c r="E111" s="10" t="s">
        <v>1429</v>
      </c>
      <c r="F111" s="10"/>
      <c r="G111" s="10">
        <v>0</v>
      </c>
      <c r="H111" s="10">
        <v>1</v>
      </c>
      <c r="I111" s="10"/>
      <c r="J111" s="10">
        <v>513</v>
      </c>
      <c r="K111" s="104">
        <v>45775</v>
      </c>
      <c r="L111" s="104">
        <v>45781</v>
      </c>
      <c r="M111" s="10" t="b">
        <v>0</v>
      </c>
      <c r="N111" s="10">
        <v>7</v>
      </c>
      <c r="O111" s="11">
        <v>935</v>
      </c>
      <c r="P111" s="85">
        <v>1.8226120857699806</v>
      </c>
      <c r="Q111" s="11">
        <v>935</v>
      </c>
      <c r="R111" s="85">
        <v>1.8226120857699806</v>
      </c>
      <c r="S111" s="29" t="s">
        <v>1999</v>
      </c>
      <c r="T111" s="29" t="s">
        <v>2030</v>
      </c>
    </row>
    <row r="112">
      <c r="B112" s="29" t="s">
        <v>1217</v>
      </c>
      <c r="C112" s="29" t="s">
        <v>1243</v>
      </c>
      <c r="D112" s="8" t="s">
        <v>1255</v>
      </c>
      <c r="E112" s="10" t="s">
        <v>1430</v>
      </c>
      <c r="F112" s="10"/>
      <c r="G112" s="10">
        <v>0</v>
      </c>
      <c r="H112" s="10">
        <v>1</v>
      </c>
      <c r="I112" s="10"/>
      <c r="J112" s="10">
        <v>513</v>
      </c>
      <c r="K112" s="104">
        <v>45432</v>
      </c>
      <c r="L112" s="104">
        <v>45436</v>
      </c>
      <c r="M112" s="10" t="b">
        <v>0</v>
      </c>
      <c r="N112" s="10">
        <v>5</v>
      </c>
      <c r="O112" s="11">
        <v>935</v>
      </c>
      <c r="P112" s="85">
        <v>1.8226120857699806</v>
      </c>
      <c r="Q112" s="11">
        <v>935</v>
      </c>
      <c r="R112" s="85">
        <v>1.8226120857699806</v>
      </c>
      <c r="S112" s="29" t="s">
        <v>1999</v>
      </c>
      <c r="T112" s="29" t="s">
        <v>2030</v>
      </c>
    </row>
    <row r="113">
      <c r="B113" s="29" t="s">
        <v>1217</v>
      </c>
      <c r="C113" s="29" t="s">
        <v>1243</v>
      </c>
      <c r="D113" s="8" t="s">
        <v>1255</v>
      </c>
      <c r="E113" s="10" t="s">
        <v>1431</v>
      </c>
      <c r="F113" s="10"/>
      <c r="G113" s="10">
        <v>0</v>
      </c>
      <c r="H113" s="10">
        <v>1</v>
      </c>
      <c r="I113" s="10"/>
      <c r="J113" s="10">
        <v>513</v>
      </c>
      <c r="K113" s="104">
        <v>45629</v>
      </c>
      <c r="L113" s="104">
        <v>45734</v>
      </c>
      <c r="M113" s="10" t="b">
        <v>0</v>
      </c>
      <c r="N113" s="10">
        <v>106</v>
      </c>
      <c r="O113" s="11">
        <v>935</v>
      </c>
      <c r="P113" s="85">
        <v>1.8226120857699806</v>
      </c>
      <c r="Q113" s="11">
        <v>868</v>
      </c>
      <c r="R113" s="85">
        <v>1.692007797270955</v>
      </c>
      <c r="S113" s="29" t="s">
        <v>1999</v>
      </c>
      <c r="T113" s="29" t="s">
        <v>2030</v>
      </c>
    </row>
    <row r="114">
      <c r="B114" s="29" t="s">
        <v>1217</v>
      </c>
      <c r="C114" s="29" t="s">
        <v>1243</v>
      </c>
      <c r="D114" s="8" t="s">
        <v>1255</v>
      </c>
      <c r="E114" s="10" t="s">
        <v>1432</v>
      </c>
      <c r="F114" s="10"/>
      <c r="G114" s="10">
        <v>0</v>
      </c>
      <c r="H114" s="10">
        <v>1</v>
      </c>
      <c r="I114" s="10"/>
      <c r="J114" s="10">
        <v>513</v>
      </c>
      <c r="K114" s="104">
        <v>45511</v>
      </c>
      <c r="L114" s="104">
        <v>45583</v>
      </c>
      <c r="M114" s="10" t="b">
        <v>0</v>
      </c>
      <c r="N114" s="10">
        <v>73</v>
      </c>
      <c r="O114" s="11">
        <v>935</v>
      </c>
      <c r="P114" s="85">
        <v>1.8226120857699806</v>
      </c>
      <c r="Q114" s="11">
        <v>935</v>
      </c>
      <c r="R114" s="85">
        <v>1.8226120857699806</v>
      </c>
      <c r="S114" s="29" t="s">
        <v>1999</v>
      </c>
      <c r="T114" s="29" t="s">
        <v>2030</v>
      </c>
    </row>
    <row r="115">
      <c r="B115" s="29" t="s">
        <v>1217</v>
      </c>
      <c r="C115" s="29" t="s">
        <v>1243</v>
      </c>
      <c r="D115" s="8" t="s">
        <v>1255</v>
      </c>
      <c r="E115" s="10" t="s">
        <v>1433</v>
      </c>
      <c r="F115" s="10"/>
      <c r="G115" s="10">
        <v>0</v>
      </c>
      <c r="H115" s="10">
        <v>1</v>
      </c>
      <c r="I115" s="10"/>
      <c r="J115" s="10">
        <v>513</v>
      </c>
      <c r="K115" s="104">
        <v>45539</v>
      </c>
      <c r="L115" s="104">
        <v>45572</v>
      </c>
      <c r="M115" s="10" t="b">
        <v>0</v>
      </c>
      <c r="N115" s="10">
        <v>34</v>
      </c>
      <c r="O115" s="11">
        <v>935</v>
      </c>
      <c r="P115" s="85">
        <v>1.8226120857699806</v>
      </c>
      <c r="Q115" s="11">
        <v>935</v>
      </c>
      <c r="R115" s="85">
        <v>1.8226120857699806</v>
      </c>
      <c r="S115" s="29" t="s">
        <v>1999</v>
      </c>
      <c r="T115" s="29" t="s">
        <v>2030</v>
      </c>
    </row>
    <row r="116">
      <c r="B116" s="29" t="s">
        <v>1217</v>
      </c>
      <c r="C116" s="29" t="s">
        <v>1243</v>
      </c>
      <c r="D116" s="8" t="s">
        <v>1255</v>
      </c>
      <c r="E116" s="10" t="s">
        <v>1434</v>
      </c>
      <c r="F116" s="10"/>
      <c r="G116" s="10">
        <v>0</v>
      </c>
      <c r="H116" s="10">
        <v>1</v>
      </c>
      <c r="I116" s="10"/>
      <c r="J116" s="10">
        <v>513</v>
      </c>
      <c r="K116" s="104">
        <v>45119</v>
      </c>
      <c r="L116" s="104">
        <v>45537</v>
      </c>
      <c r="M116" s="10" t="b">
        <v>0</v>
      </c>
      <c r="N116" s="10">
        <v>419</v>
      </c>
      <c r="O116" s="11">
        <v>935</v>
      </c>
      <c r="P116" s="85">
        <v>1.8226120857699806</v>
      </c>
      <c r="Q116" s="11">
        <v>935</v>
      </c>
      <c r="R116" s="85">
        <v>1.8226120857699806</v>
      </c>
      <c r="S116" s="29" t="s">
        <v>2000</v>
      </c>
      <c r="T116" s="29" t="s">
        <v>2030</v>
      </c>
    </row>
    <row r="117">
      <c r="B117" s="29" t="s">
        <v>1217</v>
      </c>
      <c r="C117" s="29" t="s">
        <v>1243</v>
      </c>
      <c r="D117" s="8" t="s">
        <v>1255</v>
      </c>
      <c r="E117" s="10" t="s">
        <v>1435</v>
      </c>
      <c r="F117" s="10"/>
      <c r="G117" s="10">
        <v>0</v>
      </c>
      <c r="H117" s="10">
        <v>1</v>
      </c>
      <c r="I117" s="10"/>
      <c r="J117" s="10">
        <v>513</v>
      </c>
      <c r="K117" s="104">
        <v>45135</v>
      </c>
      <c r="L117" s="104">
        <v>45267</v>
      </c>
      <c r="M117" s="10" t="b">
        <v>0</v>
      </c>
      <c r="N117" s="10">
        <v>133</v>
      </c>
      <c r="O117" s="11">
        <v>935</v>
      </c>
      <c r="P117" s="85">
        <v>1.8226120857699806</v>
      </c>
      <c r="Q117" s="11">
        <v>935</v>
      </c>
      <c r="R117" s="85">
        <v>1.8226120857699806</v>
      </c>
      <c r="S117" s="29" t="s">
        <v>1998</v>
      </c>
      <c r="T117" s="29" t="s">
        <v>1998</v>
      </c>
    </row>
    <row r="118">
      <c r="B118" s="29" t="s">
        <v>1217</v>
      </c>
      <c r="C118" s="29" t="s">
        <v>1243</v>
      </c>
      <c r="D118" s="8" t="s">
        <v>1255</v>
      </c>
      <c r="E118" s="10" t="s">
        <v>1436</v>
      </c>
      <c r="F118" s="10"/>
      <c r="G118" s="10">
        <v>0</v>
      </c>
      <c r="H118" s="10">
        <v>1</v>
      </c>
      <c r="I118" s="10"/>
      <c r="J118" s="10">
        <v>513</v>
      </c>
      <c r="K118" s="104">
        <v>45483</v>
      </c>
      <c r="L118" s="104">
        <v>45527</v>
      </c>
      <c r="M118" s="10" t="b">
        <v>0</v>
      </c>
      <c r="N118" s="10">
        <v>45</v>
      </c>
      <c r="O118" s="11">
        <v>935</v>
      </c>
      <c r="P118" s="85">
        <v>1.8226120857699806</v>
      </c>
      <c r="Q118" s="11">
        <v>857</v>
      </c>
      <c r="R118" s="85">
        <v>1.6705653021442495</v>
      </c>
      <c r="S118" s="29" t="s">
        <v>1999</v>
      </c>
      <c r="T118" s="29" t="s">
        <v>2030</v>
      </c>
    </row>
    <row r="119">
      <c r="B119" s="29" t="s">
        <v>1217</v>
      </c>
      <c r="C119" s="29" t="s">
        <v>1243</v>
      </c>
      <c r="D119" s="8" t="s">
        <v>1255</v>
      </c>
      <c r="E119" s="10" t="s">
        <v>1437</v>
      </c>
      <c r="F119" s="10">
        <v>3</v>
      </c>
      <c r="G119" s="10">
        <v>0</v>
      </c>
      <c r="H119" s="10">
        <v>1</v>
      </c>
      <c r="I119" s="10"/>
      <c r="J119" s="10">
        <v>513</v>
      </c>
      <c r="K119" s="104">
        <v>45749</v>
      </c>
      <c r="L119" s="104">
        <v>45772</v>
      </c>
      <c r="M119" s="10" t="b">
        <v>0</v>
      </c>
      <c r="N119" s="10">
        <v>24</v>
      </c>
      <c r="O119" s="11">
        <v>935</v>
      </c>
      <c r="P119" s="85">
        <v>1.8226120857699806</v>
      </c>
      <c r="Q119" s="11">
        <v>935</v>
      </c>
      <c r="R119" s="85">
        <v>1.8226120857699806</v>
      </c>
      <c r="S119" s="29" t="s">
        <v>1999</v>
      </c>
      <c r="T119" s="29" t="s">
        <v>2030</v>
      </c>
    </row>
    <row r="120">
      <c r="B120" s="29" t="s">
        <v>1217</v>
      </c>
      <c r="C120" s="29" t="s">
        <v>1243</v>
      </c>
      <c r="D120" s="8" t="s">
        <v>1255</v>
      </c>
      <c r="E120" s="10" t="s">
        <v>1438</v>
      </c>
      <c r="F120" s="10"/>
      <c r="G120" s="10">
        <v>0</v>
      </c>
      <c r="H120" s="10">
        <v>1</v>
      </c>
      <c r="I120" s="10"/>
      <c r="J120" s="10">
        <v>513</v>
      </c>
      <c r="K120" s="104">
        <v>45323</v>
      </c>
      <c r="L120" s="104">
        <v>45482</v>
      </c>
      <c r="M120" s="10" t="b">
        <v>0</v>
      </c>
      <c r="N120" s="10">
        <v>160</v>
      </c>
      <c r="O120" s="11">
        <v>935</v>
      </c>
      <c r="P120" s="85">
        <v>1.8226120857699806</v>
      </c>
      <c r="Q120" s="11">
        <v>935</v>
      </c>
      <c r="R120" s="85">
        <v>1.8226120857699806</v>
      </c>
      <c r="S120" s="29" t="s">
        <v>1999</v>
      </c>
      <c r="T120" s="29" t="s">
        <v>2030</v>
      </c>
    </row>
    <row r="121">
      <c r="B121" s="29" t="s">
        <v>1217</v>
      </c>
      <c r="C121" s="29" t="s">
        <v>1243</v>
      </c>
      <c r="D121" s="8" t="s">
        <v>1255</v>
      </c>
      <c r="E121" s="10" t="s">
        <v>1439</v>
      </c>
      <c r="F121" s="10"/>
      <c r="G121" s="10">
        <v>0</v>
      </c>
      <c r="H121" s="10">
        <v>1</v>
      </c>
      <c r="I121" s="10"/>
      <c r="J121" s="10">
        <v>513</v>
      </c>
      <c r="K121" s="104">
        <v>45225</v>
      </c>
      <c r="L121" s="104">
        <v>45452</v>
      </c>
      <c r="M121" s="10" t="b">
        <v>0</v>
      </c>
      <c r="N121" s="10">
        <v>228</v>
      </c>
      <c r="O121" s="11">
        <v>935</v>
      </c>
      <c r="P121" s="85">
        <v>1.8226120857699806</v>
      </c>
      <c r="Q121" s="11">
        <v>893</v>
      </c>
      <c r="R121" s="85">
        <v>1.7407407407407407</v>
      </c>
      <c r="S121" s="29" t="s">
        <v>1999</v>
      </c>
      <c r="T121" s="29" t="s">
        <v>2030</v>
      </c>
    </row>
    <row r="122">
      <c r="B122" s="29" t="s">
        <v>1217</v>
      </c>
      <c r="C122" s="29" t="s">
        <v>1243</v>
      </c>
      <c r="D122" s="8" t="s">
        <v>1255</v>
      </c>
      <c r="E122" s="10" t="s">
        <v>1440</v>
      </c>
      <c r="F122" s="10"/>
      <c r="G122" s="10">
        <v>0</v>
      </c>
      <c r="H122" s="10">
        <v>1</v>
      </c>
      <c r="I122" s="10"/>
      <c r="J122" s="10">
        <v>513</v>
      </c>
      <c r="K122" s="104">
        <v>45763</v>
      </c>
      <c r="L122" s="104">
        <v>45778</v>
      </c>
      <c r="M122" s="10" t="b">
        <v>0</v>
      </c>
      <c r="N122" s="10">
        <v>16</v>
      </c>
      <c r="O122" s="11">
        <v>935</v>
      </c>
      <c r="P122" s="85">
        <v>1.8226120857699806</v>
      </c>
      <c r="Q122" s="11">
        <v>935</v>
      </c>
      <c r="R122" s="85">
        <v>1.8226120857699806</v>
      </c>
      <c r="S122" s="29" t="s">
        <v>1999</v>
      </c>
      <c r="T122" s="29" t="s">
        <v>2030</v>
      </c>
    </row>
    <row r="123">
      <c r="B123" s="29" t="s">
        <v>1217</v>
      </c>
      <c r="C123" s="29" t="s">
        <v>1243</v>
      </c>
      <c r="D123" s="8" t="s">
        <v>1255</v>
      </c>
      <c r="E123" s="10" t="s">
        <v>1441</v>
      </c>
      <c r="F123" s="10"/>
      <c r="G123" s="10">
        <v>0</v>
      </c>
      <c r="H123" s="10">
        <v>1</v>
      </c>
      <c r="I123" s="10"/>
      <c r="J123" s="10">
        <v>513</v>
      </c>
      <c r="K123" s="104">
        <v>45498</v>
      </c>
      <c r="L123" s="104">
        <v>45565</v>
      </c>
      <c r="M123" s="10" t="b">
        <v>0</v>
      </c>
      <c r="N123" s="10">
        <v>68</v>
      </c>
      <c r="O123" s="11">
        <v>1010</v>
      </c>
      <c r="P123" s="85">
        <v>1.9688109161793372</v>
      </c>
      <c r="Q123" s="11">
        <v>1010</v>
      </c>
      <c r="R123" s="85">
        <v>1.9688109161793372</v>
      </c>
      <c r="S123" s="29" t="s">
        <v>2001</v>
      </c>
      <c r="T123" s="29" t="s">
        <v>2032</v>
      </c>
    </row>
    <row r="124">
      <c r="B124" s="29" t="s">
        <v>1217</v>
      </c>
      <c r="C124" s="29" t="s">
        <v>1243</v>
      </c>
      <c r="D124" s="8" t="s">
        <v>1255</v>
      </c>
      <c r="E124" s="10" t="s">
        <v>1442</v>
      </c>
      <c r="F124" s="10">
        <v>3</v>
      </c>
      <c r="G124" s="10">
        <v>0</v>
      </c>
      <c r="H124" s="10">
        <v>1</v>
      </c>
      <c r="I124" s="10"/>
      <c r="J124" s="10">
        <v>513</v>
      </c>
      <c r="K124" s="104"/>
      <c r="L124" s="104">
        <v>45101</v>
      </c>
      <c r="M124" s="10" t="b">
        <v>0</v>
      </c>
      <c r="N124" s="10"/>
      <c r="O124" s="11">
        <v>1010</v>
      </c>
      <c r="P124" s="85">
        <v>1.9688109161793372</v>
      </c>
      <c r="Q124" s="11">
        <v>1010</v>
      </c>
      <c r="R124" s="85">
        <v>1.9688109161793372</v>
      </c>
      <c r="S124" s="29" t="s">
        <v>1998</v>
      </c>
      <c r="T124" s="29" t="s">
        <v>1998</v>
      </c>
    </row>
    <row r="125">
      <c r="B125" s="29" t="s">
        <v>1217</v>
      </c>
      <c r="C125" s="29" t="s">
        <v>1243</v>
      </c>
      <c r="D125" s="8" t="s">
        <v>1255</v>
      </c>
      <c r="E125" s="10" t="s">
        <v>1443</v>
      </c>
      <c r="F125" s="10"/>
      <c r="G125" s="10">
        <v>0</v>
      </c>
      <c r="H125" s="10">
        <v>1</v>
      </c>
      <c r="I125" s="10"/>
      <c r="J125" s="10">
        <v>513</v>
      </c>
      <c r="K125" s="104">
        <v>45322</v>
      </c>
      <c r="L125" s="104">
        <v>45442</v>
      </c>
      <c r="M125" s="10" t="b">
        <v>0</v>
      </c>
      <c r="N125" s="10">
        <v>121</v>
      </c>
      <c r="O125" s="11">
        <v>1010</v>
      </c>
      <c r="P125" s="85">
        <v>1.9688109161793372</v>
      </c>
      <c r="Q125" s="11">
        <v>968</v>
      </c>
      <c r="R125" s="85">
        <v>1.8869395711500974</v>
      </c>
      <c r="S125" s="29" t="s">
        <v>2001</v>
      </c>
      <c r="T125" s="29" t="s">
        <v>2032</v>
      </c>
    </row>
    <row r="126">
      <c r="B126" s="29" t="s">
        <v>1217</v>
      </c>
      <c r="C126" s="29" t="s">
        <v>1243</v>
      </c>
      <c r="D126" s="8" t="s">
        <v>1255</v>
      </c>
      <c r="E126" s="10" t="s">
        <v>1444</v>
      </c>
      <c r="F126" s="10"/>
      <c r="G126" s="10">
        <v>0</v>
      </c>
      <c r="H126" s="10">
        <v>1</v>
      </c>
      <c r="I126" s="10"/>
      <c r="J126" s="10">
        <v>513</v>
      </c>
      <c r="K126" s="104">
        <v>45364</v>
      </c>
      <c r="L126" s="104">
        <v>45578</v>
      </c>
      <c r="M126" s="10" t="b">
        <v>0</v>
      </c>
      <c r="N126" s="10">
        <v>215</v>
      </c>
      <c r="O126" s="11">
        <v>1010</v>
      </c>
      <c r="P126" s="85">
        <v>1.9688109161793372</v>
      </c>
      <c r="Q126" s="11">
        <v>1010</v>
      </c>
      <c r="R126" s="85">
        <v>1.9688109161793372</v>
      </c>
      <c r="S126" s="29" t="s">
        <v>2001</v>
      </c>
      <c r="T126" s="29" t="s">
        <v>2032</v>
      </c>
    </row>
    <row r="127">
      <c r="B127" s="29" t="s">
        <v>1217</v>
      </c>
      <c r="C127" s="29" t="s">
        <v>1243</v>
      </c>
      <c r="D127" s="8" t="s">
        <v>1255</v>
      </c>
      <c r="E127" s="10" t="s">
        <v>1445</v>
      </c>
      <c r="F127" s="10"/>
      <c r="G127" s="10">
        <v>0</v>
      </c>
      <c r="H127" s="10">
        <v>1</v>
      </c>
      <c r="I127" s="10"/>
      <c r="J127" s="10">
        <v>513</v>
      </c>
      <c r="K127" s="104"/>
      <c r="L127" s="104">
        <v>45594</v>
      </c>
      <c r="M127" s="10" t="b">
        <v>0</v>
      </c>
      <c r="N127" s="10"/>
      <c r="O127" s="11">
        <v>1010</v>
      </c>
      <c r="P127" s="85">
        <v>1.9688109161793372</v>
      </c>
      <c r="Q127" s="11">
        <v>1010</v>
      </c>
      <c r="R127" s="85">
        <v>1.9688109161793372</v>
      </c>
      <c r="S127" s="29" t="s">
        <v>2001</v>
      </c>
      <c r="T127" s="29" t="s">
        <v>2032</v>
      </c>
    </row>
    <row r="128">
      <c r="B128" s="29" t="s">
        <v>1217</v>
      </c>
      <c r="C128" s="29" t="s">
        <v>1243</v>
      </c>
      <c r="D128" s="8" t="s">
        <v>1255</v>
      </c>
      <c r="E128" s="10" t="s">
        <v>1446</v>
      </c>
      <c r="F128" s="10"/>
      <c r="G128" s="10">
        <v>0</v>
      </c>
      <c r="H128" s="10">
        <v>1</v>
      </c>
      <c r="I128" s="10"/>
      <c r="J128" s="10">
        <v>513</v>
      </c>
      <c r="K128" s="104">
        <v>45461</v>
      </c>
      <c r="L128" s="104">
        <v>45595</v>
      </c>
      <c r="M128" s="10" t="b">
        <v>0</v>
      </c>
      <c r="N128" s="10">
        <v>135</v>
      </c>
      <c r="O128" s="11">
        <v>1010</v>
      </c>
      <c r="P128" s="85">
        <v>1.9688109161793372</v>
      </c>
      <c r="Q128" s="11">
        <v>1010</v>
      </c>
      <c r="R128" s="85">
        <v>1.9688109161793372</v>
      </c>
      <c r="S128" s="29" t="s">
        <v>2001</v>
      </c>
      <c r="T128" s="29" t="s">
        <v>2032</v>
      </c>
    </row>
    <row r="129">
      <c r="B129" s="29" t="s">
        <v>1217</v>
      </c>
      <c r="C129" s="29" t="s">
        <v>1243</v>
      </c>
      <c r="D129" s="8" t="s">
        <v>1256</v>
      </c>
      <c r="E129" s="10" t="s">
        <v>1447</v>
      </c>
      <c r="F129" s="10"/>
      <c r="G129" s="10">
        <v>0</v>
      </c>
      <c r="H129" s="10">
        <v>1</v>
      </c>
      <c r="I129" s="10"/>
      <c r="J129" s="10">
        <v>513</v>
      </c>
      <c r="K129" s="104">
        <v>45658</v>
      </c>
      <c r="L129" s="104">
        <v>45700</v>
      </c>
      <c r="M129" s="10" t="b">
        <v>0</v>
      </c>
      <c r="N129" s="10">
        <v>43</v>
      </c>
      <c r="O129" s="11">
        <v>1060</v>
      </c>
      <c r="P129" s="85">
        <v>2.0662768031189085</v>
      </c>
      <c r="Q129" s="11">
        <v>1060</v>
      </c>
      <c r="R129" s="85">
        <v>2.0662768031189085</v>
      </c>
      <c r="S129" s="29" t="s">
        <v>2002</v>
      </c>
      <c r="T129" s="29" t="s">
        <v>2033</v>
      </c>
    </row>
    <row r="130">
      <c r="B130" s="29" t="s">
        <v>1217</v>
      </c>
      <c r="C130" s="29" t="s">
        <v>1243</v>
      </c>
      <c r="D130" s="8" t="s">
        <v>1256</v>
      </c>
      <c r="E130" s="10" t="s">
        <v>1448</v>
      </c>
      <c r="F130" s="10"/>
      <c r="G130" s="10">
        <v>0</v>
      </c>
      <c r="H130" s="10">
        <v>1</v>
      </c>
      <c r="I130" s="10"/>
      <c r="J130" s="10">
        <v>513</v>
      </c>
      <c r="K130" s="104">
        <v>45323</v>
      </c>
      <c r="L130" s="104">
        <v>45474</v>
      </c>
      <c r="M130" s="10" t="b">
        <v>0</v>
      </c>
      <c r="N130" s="10">
        <v>152</v>
      </c>
      <c r="O130" s="11">
        <v>1060</v>
      </c>
      <c r="P130" s="85">
        <v>2.0662768031189085</v>
      </c>
      <c r="Q130" s="11">
        <v>1060</v>
      </c>
      <c r="R130" s="85">
        <v>2.0662768031189085</v>
      </c>
      <c r="S130" s="29" t="s">
        <v>2002</v>
      </c>
      <c r="T130" s="29" t="s">
        <v>2033</v>
      </c>
    </row>
    <row r="131">
      <c r="B131" s="29" t="s">
        <v>1217</v>
      </c>
      <c r="C131" s="29" t="s">
        <v>1243</v>
      </c>
      <c r="D131" s="8" t="s">
        <v>1256</v>
      </c>
      <c r="E131" s="10" t="s">
        <v>1449</v>
      </c>
      <c r="F131" s="10"/>
      <c r="G131" s="10">
        <v>0</v>
      </c>
      <c r="H131" s="10">
        <v>1</v>
      </c>
      <c r="I131" s="10"/>
      <c r="J131" s="10">
        <v>513</v>
      </c>
      <c r="K131" s="104">
        <v>45659</v>
      </c>
      <c r="L131" s="104"/>
      <c r="M131" s="10" t="b">
        <v>1</v>
      </c>
      <c r="N131" s="10"/>
      <c r="O131" s="11">
        <v>1060</v>
      </c>
      <c r="P131" s="85">
        <v>2.0662768031189085</v>
      </c>
      <c r="Q131" s="11">
        <v>1060</v>
      </c>
      <c r="R131" s="85">
        <v>2.0662768031189085</v>
      </c>
      <c r="S131" s="29" t="s">
        <v>2002</v>
      </c>
      <c r="T131" s="29" t="s">
        <v>2033</v>
      </c>
    </row>
    <row r="132">
      <c r="B132" s="29" t="s">
        <v>1217</v>
      </c>
      <c r="C132" s="29" t="s">
        <v>1243</v>
      </c>
      <c r="D132" s="8" t="s">
        <v>1256</v>
      </c>
      <c r="E132" s="10" t="s">
        <v>1450</v>
      </c>
      <c r="F132" s="10"/>
      <c r="G132" s="10">
        <v>0</v>
      </c>
      <c r="H132" s="10">
        <v>1</v>
      </c>
      <c r="I132" s="10"/>
      <c r="J132" s="10">
        <v>513</v>
      </c>
      <c r="K132" s="104">
        <v>45383</v>
      </c>
      <c r="L132" s="104">
        <v>45440</v>
      </c>
      <c r="M132" s="10" t="b">
        <v>0</v>
      </c>
      <c r="N132" s="10">
        <v>58</v>
      </c>
      <c r="O132" s="11">
        <v>1060</v>
      </c>
      <c r="P132" s="85">
        <v>2.0662768031189085</v>
      </c>
      <c r="Q132" s="11">
        <v>1018</v>
      </c>
      <c r="R132" s="85">
        <v>1.9844054580896686</v>
      </c>
      <c r="S132" s="29" t="s">
        <v>2003</v>
      </c>
      <c r="T132" s="29" t="s">
        <v>2033</v>
      </c>
    </row>
    <row r="133">
      <c r="B133" s="29" t="s">
        <v>1217</v>
      </c>
      <c r="C133" s="29" t="s">
        <v>1243</v>
      </c>
      <c r="D133" s="8" t="s">
        <v>1256</v>
      </c>
      <c r="E133" s="10" t="s">
        <v>1451</v>
      </c>
      <c r="F133" s="10"/>
      <c r="G133" s="10">
        <v>0</v>
      </c>
      <c r="H133" s="10">
        <v>1</v>
      </c>
      <c r="I133" s="10"/>
      <c r="J133" s="10">
        <v>513</v>
      </c>
      <c r="K133" s="104"/>
      <c r="L133" s="104">
        <v>45365</v>
      </c>
      <c r="M133" s="10" t="b">
        <v>0</v>
      </c>
      <c r="N133" s="10"/>
      <c r="O133" s="11">
        <v>1060</v>
      </c>
      <c r="P133" s="85">
        <v>2.0662768031189085</v>
      </c>
      <c r="Q133" s="11">
        <v>1060</v>
      </c>
      <c r="R133" s="85">
        <v>2.0662768031189085</v>
      </c>
      <c r="S133" s="29" t="s">
        <v>2004</v>
      </c>
      <c r="T133" s="29" t="s">
        <v>2033</v>
      </c>
    </row>
    <row r="134">
      <c r="B134" s="29" t="s">
        <v>1217</v>
      </c>
      <c r="C134" s="29" t="s">
        <v>1243</v>
      </c>
      <c r="D134" s="8" t="s">
        <v>1256</v>
      </c>
      <c r="E134" s="10" t="s">
        <v>1452</v>
      </c>
      <c r="F134" s="10"/>
      <c r="G134" s="10">
        <v>0</v>
      </c>
      <c r="H134" s="10">
        <v>1</v>
      </c>
      <c r="I134" s="10"/>
      <c r="J134" s="10">
        <v>513</v>
      </c>
      <c r="K134" s="104">
        <v>45693</v>
      </c>
      <c r="L134" s="104"/>
      <c r="M134" s="10" t="b">
        <v>1</v>
      </c>
      <c r="N134" s="10"/>
      <c r="O134" s="11">
        <v>1060</v>
      </c>
      <c r="P134" s="85">
        <v>2.0662768031189085</v>
      </c>
      <c r="Q134" s="11">
        <v>1060</v>
      </c>
      <c r="R134" s="85">
        <v>2.0662768031189085</v>
      </c>
      <c r="S134" s="29" t="s">
        <v>2002</v>
      </c>
      <c r="T134" s="29" t="s">
        <v>2033</v>
      </c>
    </row>
    <row r="135">
      <c r="B135" s="29" t="s">
        <v>1217</v>
      </c>
      <c r="C135" s="29" t="s">
        <v>1243</v>
      </c>
      <c r="D135" s="8" t="s">
        <v>1256</v>
      </c>
      <c r="E135" s="10" t="s">
        <v>1453</v>
      </c>
      <c r="F135" s="10"/>
      <c r="G135" s="10">
        <v>0</v>
      </c>
      <c r="H135" s="10">
        <v>1</v>
      </c>
      <c r="I135" s="10"/>
      <c r="J135" s="10">
        <v>513</v>
      </c>
      <c r="K135" s="104">
        <v>45323</v>
      </c>
      <c r="L135" s="104">
        <v>45489</v>
      </c>
      <c r="M135" s="10" t="b">
        <v>0</v>
      </c>
      <c r="N135" s="10">
        <v>167</v>
      </c>
      <c r="O135" s="11">
        <v>1060</v>
      </c>
      <c r="P135" s="85">
        <v>2.0662768031189085</v>
      </c>
      <c r="Q135" s="11">
        <v>977</v>
      </c>
      <c r="R135" s="85">
        <v>1.9044834307992202</v>
      </c>
      <c r="S135" s="29" t="s">
        <v>2002</v>
      </c>
      <c r="T135" s="29" t="s">
        <v>2033</v>
      </c>
    </row>
    <row r="136">
      <c r="B136" s="29" t="s">
        <v>1217</v>
      </c>
      <c r="C136" s="29" t="s">
        <v>1243</v>
      </c>
      <c r="D136" s="8" t="s">
        <v>1256</v>
      </c>
      <c r="E136" s="10" t="s">
        <v>1454</v>
      </c>
      <c r="F136" s="10"/>
      <c r="G136" s="10">
        <v>0</v>
      </c>
      <c r="H136" s="10">
        <v>1</v>
      </c>
      <c r="I136" s="10"/>
      <c r="J136" s="10">
        <v>513</v>
      </c>
      <c r="K136" s="104">
        <v>45385</v>
      </c>
      <c r="L136" s="104">
        <v>45504</v>
      </c>
      <c r="M136" s="10" t="b">
        <v>0</v>
      </c>
      <c r="N136" s="10">
        <v>120</v>
      </c>
      <c r="O136" s="11">
        <v>1060</v>
      </c>
      <c r="P136" s="85">
        <v>2.0662768031189085</v>
      </c>
      <c r="Q136" s="11">
        <v>888</v>
      </c>
      <c r="R136" s="85">
        <v>1.7309941520467835</v>
      </c>
      <c r="S136" s="29" t="s">
        <v>2002</v>
      </c>
      <c r="T136" s="29" t="s">
        <v>2033</v>
      </c>
    </row>
    <row r="137">
      <c r="B137" s="29" t="s">
        <v>1217</v>
      </c>
      <c r="C137" s="29" t="s">
        <v>1243</v>
      </c>
      <c r="D137" s="8" t="s">
        <v>1256</v>
      </c>
      <c r="E137" s="10" t="s">
        <v>1455</v>
      </c>
      <c r="F137" s="10"/>
      <c r="G137" s="10">
        <v>0</v>
      </c>
      <c r="H137" s="10">
        <v>1</v>
      </c>
      <c r="I137" s="10"/>
      <c r="J137" s="10">
        <v>513</v>
      </c>
      <c r="K137" s="104">
        <v>45732</v>
      </c>
      <c r="L137" s="104">
        <v>45755</v>
      </c>
      <c r="M137" s="10" t="b">
        <v>0</v>
      </c>
      <c r="N137" s="10">
        <v>24</v>
      </c>
      <c r="O137" s="11">
        <v>1060</v>
      </c>
      <c r="P137" s="85">
        <v>2.0662768031189085</v>
      </c>
      <c r="Q137" s="11">
        <v>1060</v>
      </c>
      <c r="R137" s="85">
        <v>2.0662768031189085</v>
      </c>
      <c r="S137" s="29" t="s">
        <v>2002</v>
      </c>
      <c r="T137" s="29" t="s">
        <v>2033</v>
      </c>
    </row>
    <row r="138">
      <c r="B138" s="29" t="s">
        <v>1217</v>
      </c>
      <c r="C138" s="29" t="s">
        <v>1243</v>
      </c>
      <c r="D138" s="8" t="s">
        <v>1256</v>
      </c>
      <c r="E138" s="10" t="s">
        <v>1456</v>
      </c>
      <c r="F138" s="10"/>
      <c r="G138" s="10">
        <v>0</v>
      </c>
      <c r="H138" s="10">
        <v>1</v>
      </c>
      <c r="I138" s="10"/>
      <c r="J138" s="10">
        <v>513</v>
      </c>
      <c r="K138" s="104">
        <v>45158</v>
      </c>
      <c r="L138" s="104">
        <v>45283</v>
      </c>
      <c r="M138" s="10" t="b">
        <v>0</v>
      </c>
      <c r="N138" s="10">
        <v>126</v>
      </c>
      <c r="O138" s="11">
        <v>1060</v>
      </c>
      <c r="P138" s="85">
        <v>2.0662768031189085</v>
      </c>
      <c r="Q138" s="11">
        <v>1060</v>
      </c>
      <c r="R138" s="85">
        <v>2.0662768031189085</v>
      </c>
      <c r="S138" s="29" t="s">
        <v>1998</v>
      </c>
      <c r="T138" s="29" t="s">
        <v>2033</v>
      </c>
    </row>
    <row r="139">
      <c r="B139" s="29" t="s">
        <v>1217</v>
      </c>
      <c r="C139" s="29" t="s">
        <v>1243</v>
      </c>
      <c r="D139" s="8" t="s">
        <v>1256</v>
      </c>
      <c r="E139" s="10" t="s">
        <v>1457</v>
      </c>
      <c r="F139" s="10"/>
      <c r="G139" s="10">
        <v>0</v>
      </c>
      <c r="H139" s="10">
        <v>1</v>
      </c>
      <c r="I139" s="10"/>
      <c r="J139" s="10">
        <v>513</v>
      </c>
      <c r="K139" s="104">
        <v>45723</v>
      </c>
      <c r="L139" s="104">
        <v>45752</v>
      </c>
      <c r="M139" s="10" t="b">
        <v>0</v>
      </c>
      <c r="N139" s="10">
        <v>30</v>
      </c>
      <c r="O139" s="11">
        <v>1060</v>
      </c>
      <c r="P139" s="85">
        <v>2.0662768031189085</v>
      </c>
      <c r="Q139" s="11">
        <v>1060</v>
      </c>
      <c r="R139" s="85">
        <v>2.0662768031189085</v>
      </c>
      <c r="S139" s="29" t="s">
        <v>2002</v>
      </c>
      <c r="T139" s="29" t="s">
        <v>2033</v>
      </c>
    </row>
    <row r="140">
      <c r="B140" s="29" t="s">
        <v>1217</v>
      </c>
      <c r="C140" s="29" t="s">
        <v>1243</v>
      </c>
      <c r="D140" s="8" t="s">
        <v>1256</v>
      </c>
      <c r="E140" s="10" t="s">
        <v>1458</v>
      </c>
      <c r="F140" s="10"/>
      <c r="G140" s="10">
        <v>0</v>
      </c>
      <c r="H140" s="10">
        <v>1</v>
      </c>
      <c r="I140" s="10"/>
      <c r="J140" s="10">
        <v>513</v>
      </c>
      <c r="K140" s="104">
        <v>45181</v>
      </c>
      <c r="L140" s="104">
        <v>45255</v>
      </c>
      <c r="M140" s="10" t="b">
        <v>0</v>
      </c>
      <c r="N140" s="10">
        <v>75</v>
      </c>
      <c r="O140" s="11">
        <v>1060</v>
      </c>
      <c r="P140" s="85">
        <v>2.0662768031189085</v>
      </c>
      <c r="Q140" s="11">
        <v>1060</v>
      </c>
      <c r="R140" s="85">
        <v>2.0662768031189085</v>
      </c>
      <c r="S140" s="29" t="s">
        <v>1998</v>
      </c>
      <c r="T140" s="29" t="s">
        <v>2033</v>
      </c>
    </row>
    <row r="141">
      <c r="B141" s="29" t="s">
        <v>1217</v>
      </c>
      <c r="C141" s="29" t="s">
        <v>1243</v>
      </c>
      <c r="D141" s="8" t="s">
        <v>1256</v>
      </c>
      <c r="E141" s="10" t="s">
        <v>1459</v>
      </c>
      <c r="F141" s="10"/>
      <c r="G141" s="10">
        <v>0</v>
      </c>
      <c r="H141" s="10">
        <v>1</v>
      </c>
      <c r="I141" s="10"/>
      <c r="J141" s="10">
        <v>513</v>
      </c>
      <c r="K141" s="104">
        <v>45490</v>
      </c>
      <c r="L141" s="104">
        <v>45541</v>
      </c>
      <c r="M141" s="10" t="b">
        <v>0</v>
      </c>
      <c r="N141" s="10">
        <v>52</v>
      </c>
      <c r="O141" s="11">
        <v>1060</v>
      </c>
      <c r="P141" s="85">
        <v>2.0662768031189085</v>
      </c>
      <c r="Q141" s="11">
        <v>1060</v>
      </c>
      <c r="R141" s="85">
        <v>2.0662768031189085</v>
      </c>
      <c r="S141" s="29" t="s">
        <v>2002</v>
      </c>
      <c r="T141" s="29" t="s">
        <v>2033</v>
      </c>
    </row>
    <row r="142">
      <c r="B142" s="29" t="s">
        <v>1217</v>
      </c>
      <c r="C142" s="29" t="s">
        <v>1243</v>
      </c>
      <c r="D142" s="8" t="s">
        <v>1256</v>
      </c>
      <c r="E142" s="10" t="s">
        <v>1460</v>
      </c>
      <c r="F142" s="10">
        <v>3</v>
      </c>
      <c r="G142" s="10">
        <v>0</v>
      </c>
      <c r="H142" s="10">
        <v>1</v>
      </c>
      <c r="I142" s="10"/>
      <c r="J142" s="10">
        <v>513</v>
      </c>
      <c r="K142" s="104">
        <v>45546</v>
      </c>
      <c r="L142" s="104">
        <v>45550</v>
      </c>
      <c r="M142" s="10" t="b">
        <v>0</v>
      </c>
      <c r="N142" s="10">
        <v>5</v>
      </c>
      <c r="O142" s="11">
        <v>1060</v>
      </c>
      <c r="P142" s="85">
        <v>2.0662768031189085</v>
      </c>
      <c r="Q142" s="11">
        <v>1060</v>
      </c>
      <c r="R142" s="85">
        <v>2.0662768031189085</v>
      </c>
      <c r="S142" s="29" t="s">
        <v>2002</v>
      </c>
      <c r="T142" s="29" t="s">
        <v>2033</v>
      </c>
    </row>
    <row r="143">
      <c r="B143" s="29" t="s">
        <v>1217</v>
      </c>
      <c r="C143" s="29" t="s">
        <v>1243</v>
      </c>
      <c r="D143" s="8" t="s">
        <v>1256</v>
      </c>
      <c r="E143" s="10" t="s">
        <v>1461</v>
      </c>
      <c r="F143" s="10"/>
      <c r="G143" s="10">
        <v>0</v>
      </c>
      <c r="H143" s="10">
        <v>1</v>
      </c>
      <c r="I143" s="10"/>
      <c r="J143" s="10">
        <v>513</v>
      </c>
      <c r="K143" s="104">
        <v>45667</v>
      </c>
      <c r="L143" s="104">
        <v>45714</v>
      </c>
      <c r="M143" s="10" t="b">
        <v>0</v>
      </c>
      <c r="N143" s="10">
        <v>48</v>
      </c>
      <c r="O143" s="11">
        <v>1060</v>
      </c>
      <c r="P143" s="85">
        <v>2.0662768031189085</v>
      </c>
      <c r="Q143" s="11">
        <v>1060</v>
      </c>
      <c r="R143" s="85">
        <v>2.0662768031189085</v>
      </c>
      <c r="S143" s="29" t="s">
        <v>2002</v>
      </c>
      <c r="T143" s="29" t="s">
        <v>2033</v>
      </c>
    </row>
    <row r="144">
      <c r="B144" s="29" t="s">
        <v>1217</v>
      </c>
      <c r="C144" s="29" t="s">
        <v>1243</v>
      </c>
      <c r="D144" s="8" t="s">
        <v>1256</v>
      </c>
      <c r="E144" s="10" t="s">
        <v>1462</v>
      </c>
      <c r="F144" s="10"/>
      <c r="G144" s="10">
        <v>0</v>
      </c>
      <c r="H144" s="10">
        <v>1</v>
      </c>
      <c r="I144" s="10"/>
      <c r="J144" s="10">
        <v>513</v>
      </c>
      <c r="K144" s="104">
        <v>45329</v>
      </c>
      <c r="L144" s="104">
        <v>45570</v>
      </c>
      <c r="M144" s="10" t="b">
        <v>0</v>
      </c>
      <c r="N144" s="10">
        <v>242</v>
      </c>
      <c r="O144" s="11">
        <v>1060</v>
      </c>
      <c r="P144" s="85">
        <v>2.0662768031189085</v>
      </c>
      <c r="Q144" s="11">
        <v>1060</v>
      </c>
      <c r="R144" s="85">
        <v>2.0662768031189085</v>
      </c>
      <c r="S144" s="29" t="s">
        <v>2002</v>
      </c>
      <c r="T144" s="29" t="s">
        <v>2033</v>
      </c>
    </row>
    <row r="145">
      <c r="B145" s="29" t="s">
        <v>1217</v>
      </c>
      <c r="C145" s="29" t="s">
        <v>1243</v>
      </c>
      <c r="D145" s="8" t="s">
        <v>1256</v>
      </c>
      <c r="E145" s="10" t="s">
        <v>1463</v>
      </c>
      <c r="F145" s="10"/>
      <c r="G145" s="10">
        <v>0</v>
      </c>
      <c r="H145" s="10">
        <v>1</v>
      </c>
      <c r="I145" s="10"/>
      <c r="J145" s="10">
        <v>513</v>
      </c>
      <c r="K145" s="104">
        <v>45756</v>
      </c>
      <c r="L145" s="104"/>
      <c r="M145" s="10" t="b">
        <v>1</v>
      </c>
      <c r="N145" s="10"/>
      <c r="O145" s="11">
        <v>1060</v>
      </c>
      <c r="P145" s="85">
        <v>2.0662768031189085</v>
      </c>
      <c r="Q145" s="11">
        <v>1060</v>
      </c>
      <c r="R145" s="85">
        <v>2.0662768031189085</v>
      </c>
      <c r="S145" s="29" t="s">
        <v>2002</v>
      </c>
      <c r="T145" s="29" t="s">
        <v>2033</v>
      </c>
    </row>
    <row r="146">
      <c r="B146" s="29" t="s">
        <v>1217</v>
      </c>
      <c r="C146" s="29" t="s">
        <v>1243</v>
      </c>
      <c r="D146" s="8" t="s">
        <v>1256</v>
      </c>
      <c r="E146" s="10" t="s">
        <v>1464</v>
      </c>
      <c r="F146" s="10"/>
      <c r="G146" s="10">
        <v>0</v>
      </c>
      <c r="H146" s="10">
        <v>1</v>
      </c>
      <c r="I146" s="10"/>
      <c r="J146" s="10">
        <v>513</v>
      </c>
      <c r="K146" s="104">
        <v>45638</v>
      </c>
      <c r="L146" s="104">
        <v>45675</v>
      </c>
      <c r="M146" s="10" t="b">
        <v>0</v>
      </c>
      <c r="N146" s="10">
        <v>38</v>
      </c>
      <c r="O146" s="11">
        <v>1060</v>
      </c>
      <c r="P146" s="85">
        <v>2.0662768031189085</v>
      </c>
      <c r="Q146" s="11">
        <v>1060</v>
      </c>
      <c r="R146" s="85">
        <v>2.0662768031189085</v>
      </c>
      <c r="S146" s="29" t="s">
        <v>2002</v>
      </c>
      <c r="T146" s="29" t="s">
        <v>2033</v>
      </c>
    </row>
    <row r="147">
      <c r="B147" s="29" t="s">
        <v>1217</v>
      </c>
      <c r="C147" s="29" t="s">
        <v>1243</v>
      </c>
      <c r="D147" s="8" t="s">
        <v>1256</v>
      </c>
      <c r="E147" s="10" t="s">
        <v>1465</v>
      </c>
      <c r="F147" s="10">
        <v>3</v>
      </c>
      <c r="G147" s="10">
        <v>0</v>
      </c>
      <c r="H147" s="10">
        <v>1</v>
      </c>
      <c r="I147" s="10"/>
      <c r="J147" s="10">
        <v>513</v>
      </c>
      <c r="K147" s="104">
        <v>45775</v>
      </c>
      <c r="L147" s="104"/>
      <c r="M147" s="10" t="b">
        <v>1</v>
      </c>
      <c r="N147" s="10"/>
      <c r="O147" s="11">
        <v>1060</v>
      </c>
      <c r="P147" s="85">
        <v>2.0662768031189085</v>
      </c>
      <c r="Q147" s="11">
        <v>1060</v>
      </c>
      <c r="R147" s="85">
        <v>2.0662768031189085</v>
      </c>
      <c r="S147" s="29" t="s">
        <v>2002</v>
      </c>
      <c r="T147" s="29" t="s">
        <v>2033</v>
      </c>
    </row>
    <row r="148">
      <c r="B148" s="29" t="s">
        <v>1217</v>
      </c>
      <c r="C148" s="29" t="s">
        <v>1243</v>
      </c>
      <c r="D148" s="8" t="s">
        <v>1256</v>
      </c>
      <c r="E148" s="10" t="s">
        <v>1466</v>
      </c>
      <c r="F148" s="10"/>
      <c r="G148" s="10">
        <v>0</v>
      </c>
      <c r="H148" s="10">
        <v>1</v>
      </c>
      <c r="I148" s="10"/>
      <c r="J148" s="10">
        <v>513</v>
      </c>
      <c r="K148" s="104">
        <v>45246</v>
      </c>
      <c r="L148" s="104">
        <v>45406</v>
      </c>
      <c r="M148" s="10" t="b">
        <v>0</v>
      </c>
      <c r="N148" s="10">
        <v>161</v>
      </c>
      <c r="O148" s="11">
        <v>1060</v>
      </c>
      <c r="P148" s="85">
        <v>2.0662768031189085</v>
      </c>
      <c r="Q148" s="11">
        <v>1060</v>
      </c>
      <c r="R148" s="85">
        <v>2.0662768031189085</v>
      </c>
      <c r="S148" s="29" t="s">
        <v>2002</v>
      </c>
      <c r="T148" s="29" t="s">
        <v>2034</v>
      </c>
    </row>
    <row r="149">
      <c r="B149" s="29" t="s">
        <v>1217</v>
      </c>
      <c r="C149" s="29" t="s">
        <v>1243</v>
      </c>
      <c r="D149" s="8" t="s">
        <v>1255</v>
      </c>
      <c r="E149" s="10" t="s">
        <v>1467</v>
      </c>
      <c r="F149" s="10"/>
      <c r="G149" s="10">
        <v>0</v>
      </c>
      <c r="H149" s="10">
        <v>1</v>
      </c>
      <c r="I149" s="10"/>
      <c r="J149" s="10">
        <v>513</v>
      </c>
      <c r="K149" s="104"/>
      <c r="L149" s="104">
        <v>45351</v>
      </c>
      <c r="M149" s="10" t="b">
        <v>0</v>
      </c>
      <c r="N149" s="10"/>
      <c r="O149" s="11">
        <v>1085</v>
      </c>
      <c r="P149" s="85">
        <v>2.115009746588694</v>
      </c>
      <c r="Q149" s="11">
        <v>1085</v>
      </c>
      <c r="R149" s="85">
        <v>2.115009746588694</v>
      </c>
      <c r="S149" s="29" t="s">
        <v>2001</v>
      </c>
      <c r="T149" s="29" t="s">
        <v>2032</v>
      </c>
    </row>
    <row r="150">
      <c r="B150" s="29" t="s">
        <v>1217</v>
      </c>
      <c r="C150" s="29" t="s">
        <v>1243</v>
      </c>
      <c r="D150" s="8" t="s">
        <v>1256</v>
      </c>
      <c r="E150" s="10" t="s">
        <v>1468</v>
      </c>
      <c r="F150" s="10"/>
      <c r="G150" s="10">
        <v>0</v>
      </c>
      <c r="H150" s="10">
        <v>1</v>
      </c>
      <c r="I150" s="10"/>
      <c r="J150" s="10">
        <v>513</v>
      </c>
      <c r="K150" s="104"/>
      <c r="L150" s="104">
        <v>45181</v>
      </c>
      <c r="M150" s="10" t="b">
        <v>0</v>
      </c>
      <c r="N150" s="10"/>
      <c r="O150" s="11">
        <v>1149</v>
      </c>
      <c r="P150" s="85">
        <v>2.239766081871345</v>
      </c>
      <c r="Q150" s="11">
        <v>1149</v>
      </c>
      <c r="R150" s="85">
        <v>2.239766081871345</v>
      </c>
      <c r="S150" s="29" t="s">
        <v>1998</v>
      </c>
      <c r="T150" s="29" t="s">
        <v>2033</v>
      </c>
    </row>
    <row r="151">
      <c r="B151" s="29" t="s">
        <v>1217</v>
      </c>
      <c r="C151" s="29" t="s">
        <v>1243</v>
      </c>
      <c r="D151" s="8" t="s">
        <v>1256</v>
      </c>
      <c r="E151" s="10" t="s">
        <v>1469</v>
      </c>
      <c r="F151" s="10"/>
      <c r="G151" s="10">
        <v>0</v>
      </c>
      <c r="H151" s="10">
        <v>1</v>
      </c>
      <c r="I151" s="10"/>
      <c r="J151" s="10">
        <v>513</v>
      </c>
      <c r="K151" s="104">
        <v>45460</v>
      </c>
      <c r="L151" s="104">
        <v>45599</v>
      </c>
      <c r="M151" s="10" t="b">
        <v>0</v>
      </c>
      <c r="N151" s="10">
        <v>140</v>
      </c>
      <c r="O151" s="11">
        <v>1185</v>
      </c>
      <c r="P151" s="85">
        <v>2.309941520467836</v>
      </c>
      <c r="Q151" s="11">
        <v>1185</v>
      </c>
      <c r="R151" s="85">
        <v>2.309941520467836</v>
      </c>
      <c r="S151" s="29" t="s">
        <v>2004</v>
      </c>
      <c r="T151" s="29" t="s">
        <v>2033</v>
      </c>
    </row>
    <row r="152">
      <c r="B152" s="29" t="s">
        <v>1217</v>
      </c>
      <c r="C152" s="29" t="s">
        <v>1243</v>
      </c>
      <c r="D152" s="8" t="s">
        <v>1257</v>
      </c>
      <c r="E152" s="10" t="s">
        <v>1470</v>
      </c>
      <c r="F152" s="10">
        <v>3</v>
      </c>
      <c r="G152" s="10">
        <v>2</v>
      </c>
      <c r="H152" s="10">
        <v>1</v>
      </c>
      <c r="I152" s="10">
        <v>1</v>
      </c>
      <c r="J152" s="10">
        <v>1026</v>
      </c>
      <c r="K152" s="104"/>
      <c r="L152" s="104">
        <v>45098</v>
      </c>
      <c r="M152" s="10" t="b">
        <v>0</v>
      </c>
      <c r="N152" s="10"/>
      <c r="O152" s="11">
        <v>1265</v>
      </c>
      <c r="P152" s="85">
        <v>1.232943469785575</v>
      </c>
      <c r="Q152" s="11">
        <v>1265</v>
      </c>
      <c r="R152" s="85">
        <v>1.232943469785575</v>
      </c>
      <c r="S152" s="29" t="s">
        <v>1998</v>
      </c>
      <c r="T152" s="29" t="s">
        <v>1998</v>
      </c>
    </row>
    <row r="153">
      <c r="B153" s="29" t="s">
        <v>1217</v>
      </c>
      <c r="C153" s="29" t="s">
        <v>1243</v>
      </c>
      <c r="D153" s="8" t="s">
        <v>1257</v>
      </c>
      <c r="E153" s="10" t="s">
        <v>1471</v>
      </c>
      <c r="F153" s="10">
        <v>3</v>
      </c>
      <c r="G153" s="10">
        <v>2</v>
      </c>
      <c r="H153" s="10">
        <v>1</v>
      </c>
      <c r="I153" s="10">
        <v>1</v>
      </c>
      <c r="J153" s="10">
        <v>1026</v>
      </c>
      <c r="K153" s="104">
        <v>45303</v>
      </c>
      <c r="L153" s="104">
        <v>45372</v>
      </c>
      <c r="M153" s="10" t="b">
        <v>0</v>
      </c>
      <c r="N153" s="10">
        <v>70</v>
      </c>
      <c r="O153" s="11">
        <v>1265</v>
      </c>
      <c r="P153" s="85">
        <v>1.232943469785575</v>
      </c>
      <c r="Q153" s="11">
        <v>1265</v>
      </c>
      <c r="R153" s="85">
        <v>1.232943469785575</v>
      </c>
      <c r="S153" s="29" t="s">
        <v>1999</v>
      </c>
      <c r="T153" s="29" t="s">
        <v>2030</v>
      </c>
    </row>
    <row r="154">
      <c r="B154" s="29" t="s">
        <v>1217</v>
      </c>
      <c r="C154" s="29" t="s">
        <v>1243</v>
      </c>
      <c r="D154" s="8" t="s">
        <v>1257</v>
      </c>
      <c r="E154" s="10" t="s">
        <v>1472</v>
      </c>
      <c r="F154" s="10"/>
      <c r="G154" s="10">
        <v>2</v>
      </c>
      <c r="H154" s="10">
        <v>1</v>
      </c>
      <c r="I154" s="10">
        <v>1</v>
      </c>
      <c r="J154" s="10">
        <v>1026</v>
      </c>
      <c r="K154" s="104">
        <v>45330</v>
      </c>
      <c r="L154" s="104">
        <v>45365</v>
      </c>
      <c r="M154" s="10" t="b">
        <v>0</v>
      </c>
      <c r="N154" s="10">
        <v>36</v>
      </c>
      <c r="O154" s="11">
        <v>1265</v>
      </c>
      <c r="P154" s="85">
        <v>1.232943469785575</v>
      </c>
      <c r="Q154" s="11">
        <v>1265</v>
      </c>
      <c r="R154" s="85">
        <v>1.232943469785575</v>
      </c>
      <c r="S154" s="29" t="s">
        <v>1999</v>
      </c>
      <c r="T154" s="29" t="s">
        <v>2030</v>
      </c>
    </row>
    <row r="155">
      <c r="B155" s="29" t="s">
        <v>1217</v>
      </c>
      <c r="C155" s="29" t="s">
        <v>1243</v>
      </c>
      <c r="D155" s="8" t="s">
        <v>1257</v>
      </c>
      <c r="E155" s="10" t="s">
        <v>1473</v>
      </c>
      <c r="F155" s="10"/>
      <c r="G155" s="10">
        <v>2</v>
      </c>
      <c r="H155" s="10">
        <v>1</v>
      </c>
      <c r="I155" s="10">
        <v>1</v>
      </c>
      <c r="J155" s="10">
        <v>1026</v>
      </c>
      <c r="K155" s="104">
        <v>45145</v>
      </c>
      <c r="L155" s="104">
        <v>45344</v>
      </c>
      <c r="M155" s="10" t="b">
        <v>0</v>
      </c>
      <c r="N155" s="10">
        <v>200</v>
      </c>
      <c r="O155" s="11">
        <v>1265</v>
      </c>
      <c r="P155" s="85">
        <v>1.232943469785575</v>
      </c>
      <c r="Q155" s="11">
        <v>1265</v>
      </c>
      <c r="R155" s="85">
        <v>1.232943469785575</v>
      </c>
      <c r="S155" s="29" t="s">
        <v>1999</v>
      </c>
      <c r="T155" s="29" t="s">
        <v>2030</v>
      </c>
    </row>
    <row r="156">
      <c r="B156" s="29" t="s">
        <v>1217</v>
      </c>
      <c r="C156" s="29" t="s">
        <v>1243</v>
      </c>
      <c r="D156" s="8" t="s">
        <v>1257</v>
      </c>
      <c r="E156" s="10" t="s">
        <v>1474</v>
      </c>
      <c r="F156" s="10"/>
      <c r="G156" s="10">
        <v>2</v>
      </c>
      <c r="H156" s="10">
        <v>1</v>
      </c>
      <c r="I156" s="10">
        <v>1</v>
      </c>
      <c r="J156" s="10">
        <v>1026</v>
      </c>
      <c r="K156" s="104">
        <v>45225</v>
      </c>
      <c r="L156" s="104">
        <v>45316</v>
      </c>
      <c r="M156" s="10" t="b">
        <v>0</v>
      </c>
      <c r="N156" s="10">
        <v>92</v>
      </c>
      <c r="O156" s="11">
        <v>1265</v>
      </c>
      <c r="P156" s="85">
        <v>1.232943469785575</v>
      </c>
      <c r="Q156" s="11">
        <v>1160</v>
      </c>
      <c r="R156" s="85">
        <v>1.1306042884990253</v>
      </c>
      <c r="S156" s="29" t="s">
        <v>1998</v>
      </c>
      <c r="T156" s="29" t="s">
        <v>1998</v>
      </c>
    </row>
    <row r="157">
      <c r="B157" s="29" t="s">
        <v>1217</v>
      </c>
      <c r="C157" s="29" t="s">
        <v>1243</v>
      </c>
      <c r="D157" s="8" t="s">
        <v>1257</v>
      </c>
      <c r="E157" s="10" t="s">
        <v>1475</v>
      </c>
      <c r="F157" s="10"/>
      <c r="G157" s="10">
        <v>2</v>
      </c>
      <c r="H157" s="10">
        <v>1</v>
      </c>
      <c r="I157" s="10">
        <v>1</v>
      </c>
      <c r="J157" s="10">
        <v>1026</v>
      </c>
      <c r="K157" s="104">
        <v>45283</v>
      </c>
      <c r="L157" s="104">
        <v>45289</v>
      </c>
      <c r="M157" s="10" t="b">
        <v>0</v>
      </c>
      <c r="N157" s="10">
        <v>7</v>
      </c>
      <c r="O157" s="11">
        <v>1265</v>
      </c>
      <c r="P157" s="85">
        <v>1.232943469785575</v>
      </c>
      <c r="Q157" s="11">
        <v>1265</v>
      </c>
      <c r="R157" s="85">
        <v>1.232943469785575</v>
      </c>
      <c r="S157" s="29" t="s">
        <v>1998</v>
      </c>
      <c r="T157" s="29" t="s">
        <v>1998</v>
      </c>
    </row>
    <row r="158">
      <c r="B158" s="29" t="s">
        <v>1217</v>
      </c>
      <c r="C158" s="29" t="s">
        <v>1243</v>
      </c>
      <c r="D158" s="8" t="s">
        <v>1257</v>
      </c>
      <c r="E158" s="10" t="s">
        <v>1476</v>
      </c>
      <c r="F158" s="10"/>
      <c r="G158" s="10">
        <v>2</v>
      </c>
      <c r="H158" s="10">
        <v>1</v>
      </c>
      <c r="I158" s="10">
        <v>1</v>
      </c>
      <c r="J158" s="10">
        <v>1026</v>
      </c>
      <c r="K158" s="104">
        <v>45150</v>
      </c>
      <c r="L158" s="104">
        <v>45151</v>
      </c>
      <c r="M158" s="10" t="b">
        <v>0</v>
      </c>
      <c r="N158" s="10">
        <v>2</v>
      </c>
      <c r="O158" s="11">
        <v>1265</v>
      </c>
      <c r="P158" s="85">
        <v>1.232943469785575</v>
      </c>
      <c r="Q158" s="11">
        <v>1223</v>
      </c>
      <c r="R158" s="85">
        <v>1.192007797270955</v>
      </c>
      <c r="S158" s="29" t="s">
        <v>1998</v>
      </c>
      <c r="T158" s="29" t="s">
        <v>1998</v>
      </c>
    </row>
    <row r="159">
      <c r="B159" s="29" t="s">
        <v>1217</v>
      </c>
      <c r="C159" s="29" t="s">
        <v>1243</v>
      </c>
      <c r="D159" s="8" t="s">
        <v>1257</v>
      </c>
      <c r="E159" s="10" t="s">
        <v>1477</v>
      </c>
      <c r="F159" s="10"/>
      <c r="G159" s="10">
        <v>2</v>
      </c>
      <c r="H159" s="10">
        <v>1</v>
      </c>
      <c r="I159" s="10">
        <v>1</v>
      </c>
      <c r="J159" s="10">
        <v>1026</v>
      </c>
      <c r="K159" s="104">
        <v>45115</v>
      </c>
      <c r="L159" s="104">
        <v>45125</v>
      </c>
      <c r="M159" s="10" t="b">
        <v>0</v>
      </c>
      <c r="N159" s="10">
        <v>11</v>
      </c>
      <c r="O159" s="11">
        <v>1265</v>
      </c>
      <c r="P159" s="85">
        <v>1.232943469785575</v>
      </c>
      <c r="Q159" s="11">
        <v>1265</v>
      </c>
      <c r="R159" s="85">
        <v>1.232943469785575</v>
      </c>
      <c r="S159" s="29" t="s">
        <v>1998</v>
      </c>
      <c r="T159" s="29" t="s">
        <v>1998</v>
      </c>
    </row>
    <row r="160">
      <c r="B160" s="29" t="s">
        <v>1217</v>
      </c>
      <c r="C160" s="29" t="s">
        <v>1243</v>
      </c>
      <c r="D160" s="8" t="s">
        <v>1257</v>
      </c>
      <c r="E160" s="10" t="s">
        <v>1478</v>
      </c>
      <c r="F160" s="10">
        <v>3</v>
      </c>
      <c r="G160" s="10">
        <v>2</v>
      </c>
      <c r="H160" s="10">
        <v>1</v>
      </c>
      <c r="I160" s="10">
        <v>1</v>
      </c>
      <c r="J160" s="10">
        <v>1026</v>
      </c>
      <c r="K160" s="104">
        <v>45122</v>
      </c>
      <c r="L160" s="104">
        <v>45123</v>
      </c>
      <c r="M160" s="10" t="b">
        <v>0</v>
      </c>
      <c r="N160" s="10">
        <v>2</v>
      </c>
      <c r="O160" s="11">
        <v>1265</v>
      </c>
      <c r="P160" s="85">
        <v>1.232943469785575</v>
      </c>
      <c r="Q160" s="11">
        <v>1265</v>
      </c>
      <c r="R160" s="85">
        <v>1.232943469785575</v>
      </c>
      <c r="S160" s="29" t="s">
        <v>1998</v>
      </c>
      <c r="T160" s="29" t="s">
        <v>1998</v>
      </c>
    </row>
    <row r="161">
      <c r="B161" s="29" t="s">
        <v>1217</v>
      </c>
      <c r="C161" s="29" t="s">
        <v>1243</v>
      </c>
      <c r="D161" s="8" t="s">
        <v>1257</v>
      </c>
      <c r="E161" s="10" t="s">
        <v>1479</v>
      </c>
      <c r="F161" s="10"/>
      <c r="G161" s="10">
        <v>2</v>
      </c>
      <c r="H161" s="10">
        <v>1</v>
      </c>
      <c r="I161" s="10">
        <v>1</v>
      </c>
      <c r="J161" s="10">
        <v>1026</v>
      </c>
      <c r="K161" s="104">
        <v>45113</v>
      </c>
      <c r="L161" s="104">
        <v>45119</v>
      </c>
      <c r="M161" s="10" t="b">
        <v>0</v>
      </c>
      <c r="N161" s="10">
        <v>7</v>
      </c>
      <c r="O161" s="11">
        <v>1265</v>
      </c>
      <c r="P161" s="85">
        <v>1.232943469785575</v>
      </c>
      <c r="Q161" s="11">
        <v>1265</v>
      </c>
      <c r="R161" s="85">
        <v>1.232943469785575</v>
      </c>
      <c r="S161" s="29" t="s">
        <v>1998</v>
      </c>
      <c r="T161" s="29" t="s">
        <v>1998</v>
      </c>
    </row>
    <row r="162">
      <c r="B162" s="29" t="s">
        <v>1217</v>
      </c>
      <c r="C162" s="29" t="s">
        <v>1243</v>
      </c>
      <c r="D162" s="8" t="s">
        <v>1257</v>
      </c>
      <c r="E162" s="10" t="s">
        <v>1480</v>
      </c>
      <c r="F162" s="10"/>
      <c r="G162" s="10">
        <v>2</v>
      </c>
      <c r="H162" s="10">
        <v>1</v>
      </c>
      <c r="I162" s="10">
        <v>1</v>
      </c>
      <c r="J162" s="10">
        <v>1026</v>
      </c>
      <c r="K162" s="104">
        <v>45101</v>
      </c>
      <c r="L162" s="104">
        <v>45103</v>
      </c>
      <c r="M162" s="10" t="b">
        <v>0</v>
      </c>
      <c r="N162" s="10">
        <v>3</v>
      </c>
      <c r="O162" s="11">
        <v>1265</v>
      </c>
      <c r="P162" s="85">
        <v>1.232943469785575</v>
      </c>
      <c r="Q162" s="11">
        <v>1265</v>
      </c>
      <c r="R162" s="85">
        <v>1.232943469785575</v>
      </c>
      <c r="S162" s="29" t="s">
        <v>1998</v>
      </c>
      <c r="T162" s="29" t="s">
        <v>1998</v>
      </c>
    </row>
    <row r="163">
      <c r="B163" s="29" t="s">
        <v>1217</v>
      </c>
      <c r="C163" s="29" t="s">
        <v>1243</v>
      </c>
      <c r="D163" s="8" t="s">
        <v>1257</v>
      </c>
      <c r="E163" s="10" t="s">
        <v>1481</v>
      </c>
      <c r="F163" s="10"/>
      <c r="G163" s="10">
        <v>2</v>
      </c>
      <c r="H163" s="10">
        <v>1</v>
      </c>
      <c r="I163" s="10">
        <v>1</v>
      </c>
      <c r="J163" s="10">
        <v>1026</v>
      </c>
      <c r="K163" s="104">
        <v>45114</v>
      </c>
      <c r="L163" s="104">
        <v>45206</v>
      </c>
      <c r="M163" s="10" t="b">
        <v>0</v>
      </c>
      <c r="N163" s="10">
        <v>93</v>
      </c>
      <c r="O163" s="11">
        <v>1340</v>
      </c>
      <c r="P163" s="85">
        <v>1.3060428849902534</v>
      </c>
      <c r="Q163" s="11">
        <v>1340</v>
      </c>
      <c r="R163" s="85">
        <v>1.3060428849902534</v>
      </c>
      <c r="S163" s="29" t="s">
        <v>1998</v>
      </c>
      <c r="T163" s="29" t="s">
        <v>1998</v>
      </c>
    </row>
    <row r="164">
      <c r="B164" s="29" t="s">
        <v>1217</v>
      </c>
      <c r="C164" s="29" t="s">
        <v>1243</v>
      </c>
      <c r="D164" s="8" t="s">
        <v>1257</v>
      </c>
      <c r="E164" s="10" t="s">
        <v>1482</v>
      </c>
      <c r="F164" s="10"/>
      <c r="G164" s="10">
        <v>2</v>
      </c>
      <c r="H164" s="10">
        <v>1</v>
      </c>
      <c r="I164" s="10">
        <v>1</v>
      </c>
      <c r="J164" s="10">
        <v>1026</v>
      </c>
      <c r="K164" s="104">
        <v>45098</v>
      </c>
      <c r="L164" s="104">
        <v>45101</v>
      </c>
      <c r="M164" s="10" t="b">
        <v>0</v>
      </c>
      <c r="N164" s="10">
        <v>4</v>
      </c>
      <c r="O164" s="11">
        <v>1340</v>
      </c>
      <c r="P164" s="85">
        <v>1.3060428849902534</v>
      </c>
      <c r="Q164" s="11">
        <v>1340</v>
      </c>
      <c r="R164" s="85">
        <v>1.3060428849902534</v>
      </c>
      <c r="S164" s="29" t="s">
        <v>1998</v>
      </c>
      <c r="T164" s="29" t="s">
        <v>1998</v>
      </c>
    </row>
    <row r="165">
      <c r="B165" s="29" t="s">
        <v>1217</v>
      </c>
      <c r="C165" s="29" t="s">
        <v>1243</v>
      </c>
      <c r="D165" s="8" t="s">
        <v>1257</v>
      </c>
      <c r="E165" s="10" t="s">
        <v>1483</v>
      </c>
      <c r="F165" s="10"/>
      <c r="G165" s="10">
        <v>2</v>
      </c>
      <c r="H165" s="10">
        <v>1</v>
      </c>
      <c r="I165" s="10">
        <v>1</v>
      </c>
      <c r="J165" s="10">
        <v>1026</v>
      </c>
      <c r="K165" s="104">
        <v>45104</v>
      </c>
      <c r="L165" s="104">
        <v>45113</v>
      </c>
      <c r="M165" s="10" t="b">
        <v>0</v>
      </c>
      <c r="N165" s="10">
        <v>10</v>
      </c>
      <c r="O165" s="11">
        <v>1340</v>
      </c>
      <c r="P165" s="85">
        <v>1.3060428849902534</v>
      </c>
      <c r="Q165" s="11">
        <v>1340</v>
      </c>
      <c r="R165" s="85">
        <v>1.3060428849902534</v>
      </c>
      <c r="S165" s="29" t="s">
        <v>1998</v>
      </c>
      <c r="T165" s="29" t="s">
        <v>1998</v>
      </c>
    </row>
    <row r="166">
      <c r="B166" s="29" t="s">
        <v>1217</v>
      </c>
      <c r="C166" s="29" t="s">
        <v>1243</v>
      </c>
      <c r="D166" s="8" t="s">
        <v>1257</v>
      </c>
      <c r="E166" s="10" t="s">
        <v>1484</v>
      </c>
      <c r="F166" s="10"/>
      <c r="G166" s="10">
        <v>2</v>
      </c>
      <c r="H166" s="10">
        <v>1</v>
      </c>
      <c r="I166" s="10">
        <v>1</v>
      </c>
      <c r="J166" s="10">
        <v>1026</v>
      </c>
      <c r="K166" s="104">
        <v>45142</v>
      </c>
      <c r="L166" s="104">
        <v>45143</v>
      </c>
      <c r="M166" s="10" t="b">
        <v>0</v>
      </c>
      <c r="N166" s="10">
        <v>2</v>
      </c>
      <c r="O166" s="11">
        <v>1340</v>
      </c>
      <c r="P166" s="85">
        <v>1.3060428849902534</v>
      </c>
      <c r="Q166" s="11">
        <v>1340</v>
      </c>
      <c r="R166" s="85">
        <v>1.3060428849902534</v>
      </c>
      <c r="S166" s="29" t="s">
        <v>1998</v>
      </c>
      <c r="T166" s="29" t="s">
        <v>1998</v>
      </c>
    </row>
    <row r="167">
      <c r="B167" s="29" t="s">
        <v>1217</v>
      </c>
      <c r="C167" s="29" t="s">
        <v>1243</v>
      </c>
      <c r="D167" s="8" t="s">
        <v>1257</v>
      </c>
      <c r="E167" s="10" t="s">
        <v>1485</v>
      </c>
      <c r="F167" s="10">
        <v>3</v>
      </c>
      <c r="G167" s="10">
        <v>2</v>
      </c>
      <c r="H167" s="10">
        <v>1</v>
      </c>
      <c r="I167" s="10">
        <v>1</v>
      </c>
      <c r="J167" s="10">
        <v>1026</v>
      </c>
      <c r="K167" s="104">
        <v>45325</v>
      </c>
      <c r="L167" s="104">
        <v>45336</v>
      </c>
      <c r="M167" s="10" t="b">
        <v>0</v>
      </c>
      <c r="N167" s="10">
        <v>12</v>
      </c>
      <c r="O167" s="11">
        <v>1340</v>
      </c>
      <c r="P167" s="85">
        <v>1.3060428849902534</v>
      </c>
      <c r="Q167" s="11">
        <v>1340</v>
      </c>
      <c r="R167" s="85">
        <v>1.3060428849902534</v>
      </c>
      <c r="S167" s="29" t="s">
        <v>2001</v>
      </c>
      <c r="T167" s="29" t="s">
        <v>2032</v>
      </c>
    </row>
    <row r="168">
      <c r="B168" s="29" t="s">
        <v>1217</v>
      </c>
      <c r="C168" s="29" t="s">
        <v>1243</v>
      </c>
      <c r="D168" s="8" t="s">
        <v>1257</v>
      </c>
      <c r="E168" s="10" t="s">
        <v>1486</v>
      </c>
      <c r="F168" s="10"/>
      <c r="G168" s="10">
        <v>2</v>
      </c>
      <c r="H168" s="10">
        <v>1</v>
      </c>
      <c r="I168" s="10">
        <v>1</v>
      </c>
      <c r="J168" s="10">
        <v>1026</v>
      </c>
      <c r="K168" s="104">
        <v>45114</v>
      </c>
      <c r="L168" s="104">
        <v>45117</v>
      </c>
      <c r="M168" s="10" t="b">
        <v>0</v>
      </c>
      <c r="N168" s="10">
        <v>4</v>
      </c>
      <c r="O168" s="11">
        <v>1340</v>
      </c>
      <c r="P168" s="85">
        <v>1.3060428849902534</v>
      </c>
      <c r="Q168" s="11">
        <v>1340</v>
      </c>
      <c r="R168" s="85">
        <v>1.3060428849902534</v>
      </c>
      <c r="S168" s="29" t="s">
        <v>1998</v>
      </c>
      <c r="T168" s="29" t="s">
        <v>1998</v>
      </c>
    </row>
    <row r="169">
      <c r="B169" s="29" t="s">
        <v>1217</v>
      </c>
      <c r="C169" s="29" t="s">
        <v>1243</v>
      </c>
      <c r="D169" s="8" t="s">
        <v>1257</v>
      </c>
      <c r="E169" s="10" t="s">
        <v>1487</v>
      </c>
      <c r="F169" s="10"/>
      <c r="G169" s="10">
        <v>2</v>
      </c>
      <c r="H169" s="10">
        <v>1</v>
      </c>
      <c r="I169" s="10">
        <v>1</v>
      </c>
      <c r="J169" s="10">
        <v>1026</v>
      </c>
      <c r="K169" s="104">
        <v>45206</v>
      </c>
      <c r="L169" s="104">
        <v>45231</v>
      </c>
      <c r="M169" s="10" t="b">
        <v>0</v>
      </c>
      <c r="N169" s="10">
        <v>26</v>
      </c>
      <c r="O169" s="11">
        <v>1340</v>
      </c>
      <c r="P169" s="85">
        <v>1.3060428849902534</v>
      </c>
      <c r="Q169" s="11">
        <v>1340</v>
      </c>
      <c r="R169" s="85">
        <v>1.3060428849902534</v>
      </c>
      <c r="S169" s="29" t="s">
        <v>1998</v>
      </c>
      <c r="T169" s="29" t="s">
        <v>1998</v>
      </c>
    </row>
    <row r="170">
      <c r="B170" s="29" t="s">
        <v>1217</v>
      </c>
      <c r="C170" s="29" t="s">
        <v>1243</v>
      </c>
      <c r="D170" s="8" t="s">
        <v>1257</v>
      </c>
      <c r="E170" s="10" t="s">
        <v>1488</v>
      </c>
      <c r="F170" s="10"/>
      <c r="G170" s="10">
        <v>2</v>
      </c>
      <c r="H170" s="10">
        <v>1</v>
      </c>
      <c r="I170" s="10">
        <v>1</v>
      </c>
      <c r="J170" s="10">
        <v>1026</v>
      </c>
      <c r="K170" s="104">
        <v>45115</v>
      </c>
      <c r="L170" s="104">
        <v>45218</v>
      </c>
      <c r="M170" s="10" t="b">
        <v>0</v>
      </c>
      <c r="N170" s="10">
        <v>104</v>
      </c>
      <c r="O170" s="11">
        <v>1340</v>
      </c>
      <c r="P170" s="85">
        <v>1.3060428849902534</v>
      </c>
      <c r="Q170" s="11">
        <v>1340</v>
      </c>
      <c r="R170" s="85">
        <v>1.3060428849902534</v>
      </c>
      <c r="S170" s="29" t="s">
        <v>1998</v>
      </c>
      <c r="T170" s="29" t="s">
        <v>1998</v>
      </c>
    </row>
    <row r="171">
      <c r="B171" s="29" t="s">
        <v>1217</v>
      </c>
      <c r="C171" s="29" t="s">
        <v>1243</v>
      </c>
      <c r="D171" s="8" t="s">
        <v>1257</v>
      </c>
      <c r="E171" s="10" t="s">
        <v>1489</v>
      </c>
      <c r="F171" s="10"/>
      <c r="G171" s="10">
        <v>2</v>
      </c>
      <c r="H171" s="10">
        <v>1</v>
      </c>
      <c r="I171" s="10">
        <v>1</v>
      </c>
      <c r="J171" s="10">
        <v>1026</v>
      </c>
      <c r="K171" s="104">
        <v>45125</v>
      </c>
      <c r="L171" s="104">
        <v>45240</v>
      </c>
      <c r="M171" s="10" t="b">
        <v>0</v>
      </c>
      <c r="N171" s="10">
        <v>116</v>
      </c>
      <c r="O171" s="11">
        <v>1340</v>
      </c>
      <c r="P171" s="85">
        <v>1.3060428849902534</v>
      </c>
      <c r="Q171" s="11">
        <v>1340</v>
      </c>
      <c r="R171" s="85">
        <v>1.3060428849902534</v>
      </c>
      <c r="S171" s="29" t="s">
        <v>1998</v>
      </c>
      <c r="T171" s="29" t="s">
        <v>1998</v>
      </c>
    </row>
    <row r="172">
      <c r="B172" s="29" t="s">
        <v>1217</v>
      </c>
      <c r="C172" s="29" t="s">
        <v>1243</v>
      </c>
      <c r="D172" s="8" t="s">
        <v>1257</v>
      </c>
      <c r="E172" s="10" t="s">
        <v>1490</v>
      </c>
      <c r="F172" s="10">
        <v>3</v>
      </c>
      <c r="G172" s="10">
        <v>2</v>
      </c>
      <c r="H172" s="10">
        <v>1</v>
      </c>
      <c r="I172" s="10">
        <v>1</v>
      </c>
      <c r="J172" s="10">
        <v>1026</v>
      </c>
      <c r="K172" s="104">
        <v>45506</v>
      </c>
      <c r="L172" s="104">
        <v>45548</v>
      </c>
      <c r="M172" s="10" t="b">
        <v>0</v>
      </c>
      <c r="N172" s="10">
        <v>43</v>
      </c>
      <c r="O172" s="11">
        <v>1365</v>
      </c>
      <c r="P172" s="85">
        <v>1.3304093567251463</v>
      </c>
      <c r="Q172" s="11">
        <v>1096</v>
      </c>
      <c r="R172" s="85">
        <v>1.0682261208576997</v>
      </c>
      <c r="S172" s="29" t="s">
        <v>1999</v>
      </c>
      <c r="T172" s="29" t="s">
        <v>2030</v>
      </c>
    </row>
    <row r="173">
      <c r="B173" s="29" t="s">
        <v>1217</v>
      </c>
      <c r="C173" s="29" t="s">
        <v>1243</v>
      </c>
      <c r="D173" s="8" t="s">
        <v>1257</v>
      </c>
      <c r="E173" s="10" t="s">
        <v>1491</v>
      </c>
      <c r="F173" s="10"/>
      <c r="G173" s="10">
        <v>2</v>
      </c>
      <c r="H173" s="10">
        <v>1</v>
      </c>
      <c r="I173" s="10">
        <v>1</v>
      </c>
      <c r="J173" s="10">
        <v>1026</v>
      </c>
      <c r="K173" s="104">
        <v>45478</v>
      </c>
      <c r="L173" s="104">
        <v>45529</v>
      </c>
      <c r="M173" s="10" t="b">
        <v>0</v>
      </c>
      <c r="N173" s="10">
        <v>52</v>
      </c>
      <c r="O173" s="11">
        <v>1365</v>
      </c>
      <c r="P173" s="85">
        <v>1.3304093567251463</v>
      </c>
      <c r="Q173" s="11">
        <v>1251</v>
      </c>
      <c r="R173" s="85">
        <v>1.219298245614035</v>
      </c>
      <c r="S173" s="29" t="s">
        <v>1999</v>
      </c>
      <c r="T173" s="29" t="s">
        <v>2030</v>
      </c>
    </row>
    <row r="174">
      <c r="B174" s="29" t="s">
        <v>1217</v>
      </c>
      <c r="C174" s="29" t="s">
        <v>1243</v>
      </c>
      <c r="D174" s="8" t="s">
        <v>1257</v>
      </c>
      <c r="E174" s="10" t="s">
        <v>1492</v>
      </c>
      <c r="F174" s="10">
        <v>3</v>
      </c>
      <c r="G174" s="10">
        <v>2</v>
      </c>
      <c r="H174" s="10">
        <v>1</v>
      </c>
      <c r="I174" s="10">
        <v>1</v>
      </c>
      <c r="J174" s="10">
        <v>1026</v>
      </c>
      <c r="K174" s="104">
        <v>45518</v>
      </c>
      <c r="L174" s="104">
        <v>45532</v>
      </c>
      <c r="M174" s="10" t="b">
        <v>0</v>
      </c>
      <c r="N174" s="10">
        <v>15</v>
      </c>
      <c r="O174" s="11">
        <v>1365</v>
      </c>
      <c r="P174" s="85">
        <v>1.3304093567251463</v>
      </c>
      <c r="Q174" s="11">
        <v>1365</v>
      </c>
      <c r="R174" s="85">
        <v>1.3304093567251463</v>
      </c>
      <c r="S174" s="29" t="s">
        <v>2000</v>
      </c>
      <c r="T174" s="29" t="s">
        <v>2030</v>
      </c>
    </row>
    <row r="175">
      <c r="B175" s="29" t="s">
        <v>1217</v>
      </c>
      <c r="C175" s="29" t="s">
        <v>1243</v>
      </c>
      <c r="D175" s="8" t="s">
        <v>1257</v>
      </c>
      <c r="E175" s="10" t="s">
        <v>1493</v>
      </c>
      <c r="F175" s="10">
        <v>3</v>
      </c>
      <c r="G175" s="10">
        <v>2</v>
      </c>
      <c r="H175" s="10">
        <v>1</v>
      </c>
      <c r="I175" s="10">
        <v>1</v>
      </c>
      <c r="J175" s="10">
        <v>1026</v>
      </c>
      <c r="K175" s="104">
        <v>45775</v>
      </c>
      <c r="L175" s="104"/>
      <c r="M175" s="10" t="b">
        <v>1</v>
      </c>
      <c r="N175" s="10"/>
      <c r="O175" s="11">
        <v>1365</v>
      </c>
      <c r="P175" s="85">
        <v>1.3304093567251463</v>
      </c>
      <c r="Q175" s="11">
        <v>1365</v>
      </c>
      <c r="R175" s="85">
        <v>1.3304093567251463</v>
      </c>
      <c r="S175" s="29" t="s">
        <v>1999</v>
      </c>
      <c r="T175" s="29" t="s">
        <v>2030</v>
      </c>
    </row>
    <row r="176">
      <c r="B176" s="29" t="s">
        <v>1217</v>
      </c>
      <c r="C176" s="29" t="s">
        <v>1243</v>
      </c>
      <c r="D176" s="8" t="s">
        <v>1257</v>
      </c>
      <c r="E176" s="10" t="s">
        <v>1494</v>
      </c>
      <c r="F176" s="10"/>
      <c r="G176" s="10">
        <v>2</v>
      </c>
      <c r="H176" s="10">
        <v>1</v>
      </c>
      <c r="I176" s="10">
        <v>1</v>
      </c>
      <c r="J176" s="10">
        <v>1026</v>
      </c>
      <c r="K176" s="104">
        <v>45539</v>
      </c>
      <c r="L176" s="104">
        <v>45646</v>
      </c>
      <c r="M176" s="10" t="b">
        <v>0</v>
      </c>
      <c r="N176" s="10">
        <v>108</v>
      </c>
      <c r="O176" s="11">
        <v>1365</v>
      </c>
      <c r="P176" s="85">
        <v>1.3304093567251463</v>
      </c>
      <c r="Q176" s="11">
        <v>1365</v>
      </c>
      <c r="R176" s="85">
        <v>1.3304093567251463</v>
      </c>
      <c r="S176" s="29" t="s">
        <v>1999</v>
      </c>
      <c r="T176" s="29" t="s">
        <v>2030</v>
      </c>
    </row>
    <row r="177">
      <c r="B177" s="29" t="s">
        <v>1217</v>
      </c>
      <c r="C177" s="29" t="s">
        <v>1243</v>
      </c>
      <c r="D177" s="8" t="s">
        <v>1257</v>
      </c>
      <c r="E177" s="10" t="s">
        <v>1495</v>
      </c>
      <c r="F177" s="10">
        <v>3</v>
      </c>
      <c r="G177" s="10">
        <v>2</v>
      </c>
      <c r="H177" s="10">
        <v>1</v>
      </c>
      <c r="I177" s="10">
        <v>1</v>
      </c>
      <c r="J177" s="10">
        <v>1026</v>
      </c>
      <c r="K177" s="104">
        <v>45636</v>
      </c>
      <c r="L177" s="104">
        <v>45644</v>
      </c>
      <c r="M177" s="10" t="b">
        <v>0</v>
      </c>
      <c r="N177" s="10">
        <v>9</v>
      </c>
      <c r="O177" s="11">
        <v>1365</v>
      </c>
      <c r="P177" s="85">
        <v>1.3304093567251463</v>
      </c>
      <c r="Q177" s="11">
        <v>1365</v>
      </c>
      <c r="R177" s="85">
        <v>1.3304093567251463</v>
      </c>
      <c r="S177" s="29" t="s">
        <v>1999</v>
      </c>
      <c r="T177" s="29" t="s">
        <v>2030</v>
      </c>
    </row>
    <row r="178">
      <c r="B178" s="29" t="s">
        <v>1217</v>
      </c>
      <c r="C178" s="29" t="s">
        <v>1243</v>
      </c>
      <c r="D178" s="8" t="s">
        <v>1257</v>
      </c>
      <c r="E178" s="10" t="s">
        <v>1496</v>
      </c>
      <c r="F178" s="10"/>
      <c r="G178" s="10">
        <v>2</v>
      </c>
      <c r="H178" s="10">
        <v>1</v>
      </c>
      <c r="I178" s="10">
        <v>1</v>
      </c>
      <c r="J178" s="10">
        <v>1026</v>
      </c>
      <c r="K178" s="104">
        <v>45541</v>
      </c>
      <c r="L178" s="104">
        <v>45594</v>
      </c>
      <c r="M178" s="10" t="b">
        <v>0</v>
      </c>
      <c r="N178" s="10">
        <v>54</v>
      </c>
      <c r="O178" s="11">
        <v>1365</v>
      </c>
      <c r="P178" s="85">
        <v>1.3304093567251463</v>
      </c>
      <c r="Q178" s="11">
        <v>1365</v>
      </c>
      <c r="R178" s="85">
        <v>1.3304093567251463</v>
      </c>
      <c r="S178" s="29" t="s">
        <v>1999</v>
      </c>
      <c r="T178" s="29" t="s">
        <v>2030</v>
      </c>
    </row>
    <row r="179">
      <c r="B179" s="29" t="s">
        <v>1217</v>
      </c>
      <c r="C179" s="29" t="s">
        <v>1243</v>
      </c>
      <c r="D179" s="8" t="s">
        <v>1257</v>
      </c>
      <c r="E179" s="10" t="s">
        <v>1497</v>
      </c>
      <c r="F179" s="10"/>
      <c r="G179" s="10">
        <v>2</v>
      </c>
      <c r="H179" s="10">
        <v>1</v>
      </c>
      <c r="I179" s="10">
        <v>1</v>
      </c>
      <c r="J179" s="10">
        <v>1026</v>
      </c>
      <c r="K179" s="104">
        <v>45356</v>
      </c>
      <c r="L179" s="104">
        <v>45496</v>
      </c>
      <c r="M179" s="10" t="b">
        <v>0</v>
      </c>
      <c r="N179" s="10">
        <v>141</v>
      </c>
      <c r="O179" s="11">
        <v>1365</v>
      </c>
      <c r="P179" s="85">
        <v>1.3304093567251463</v>
      </c>
      <c r="Q179" s="11">
        <v>1282</v>
      </c>
      <c r="R179" s="85">
        <v>1.2495126705653021</v>
      </c>
      <c r="S179" s="29" t="s">
        <v>1999</v>
      </c>
      <c r="T179" s="29" t="s">
        <v>2030</v>
      </c>
    </row>
    <row r="180">
      <c r="B180" s="29" t="s">
        <v>1217</v>
      </c>
      <c r="C180" s="29" t="s">
        <v>1243</v>
      </c>
      <c r="D180" s="8" t="s">
        <v>1257</v>
      </c>
      <c r="E180" s="10" t="s">
        <v>1498</v>
      </c>
      <c r="F180" s="10"/>
      <c r="G180" s="10">
        <v>2</v>
      </c>
      <c r="H180" s="10">
        <v>1</v>
      </c>
      <c r="I180" s="10">
        <v>1</v>
      </c>
      <c r="J180" s="10">
        <v>1026</v>
      </c>
      <c r="K180" s="104">
        <v>45747</v>
      </c>
      <c r="L180" s="104">
        <v>45763</v>
      </c>
      <c r="M180" s="10" t="b">
        <v>0</v>
      </c>
      <c r="N180" s="10">
        <v>17</v>
      </c>
      <c r="O180" s="11">
        <v>1365</v>
      </c>
      <c r="P180" s="85">
        <v>1.3304093567251463</v>
      </c>
      <c r="Q180" s="11">
        <v>1260</v>
      </c>
      <c r="R180" s="85">
        <v>1.2280701754385965</v>
      </c>
      <c r="S180" s="29" t="s">
        <v>1999</v>
      </c>
      <c r="T180" s="29" t="s">
        <v>2030</v>
      </c>
    </row>
    <row r="181">
      <c r="B181" s="29" t="s">
        <v>1217</v>
      </c>
      <c r="C181" s="29" t="s">
        <v>1243</v>
      </c>
      <c r="D181" s="8" t="s">
        <v>1257</v>
      </c>
      <c r="E181" s="10" t="s">
        <v>1499</v>
      </c>
      <c r="F181" s="10"/>
      <c r="G181" s="10">
        <v>2</v>
      </c>
      <c r="H181" s="10">
        <v>1</v>
      </c>
      <c r="I181" s="10">
        <v>1</v>
      </c>
      <c r="J181" s="10">
        <v>1026</v>
      </c>
      <c r="K181" s="104">
        <v>45775</v>
      </c>
      <c r="L181" s="104"/>
      <c r="M181" s="10" t="b">
        <v>1</v>
      </c>
      <c r="N181" s="10"/>
      <c r="O181" s="11">
        <v>1365</v>
      </c>
      <c r="P181" s="85">
        <v>1.3304093567251463</v>
      </c>
      <c r="Q181" s="11">
        <v>1365</v>
      </c>
      <c r="R181" s="85">
        <v>1.3304093567251463</v>
      </c>
      <c r="S181" s="29" t="s">
        <v>1999</v>
      </c>
      <c r="T181" s="29" t="s">
        <v>2030</v>
      </c>
    </row>
    <row r="182">
      <c r="B182" s="29" t="s">
        <v>1217</v>
      </c>
      <c r="C182" s="29" t="s">
        <v>1243</v>
      </c>
      <c r="D182" s="8" t="s">
        <v>1257</v>
      </c>
      <c r="E182" s="10" t="s">
        <v>1500</v>
      </c>
      <c r="F182" s="10"/>
      <c r="G182" s="10">
        <v>2</v>
      </c>
      <c r="H182" s="10">
        <v>1</v>
      </c>
      <c r="I182" s="10">
        <v>1</v>
      </c>
      <c r="J182" s="10">
        <v>1026</v>
      </c>
      <c r="K182" s="104">
        <v>45476</v>
      </c>
      <c r="L182" s="104">
        <v>45521</v>
      </c>
      <c r="M182" s="10" t="b">
        <v>0</v>
      </c>
      <c r="N182" s="10">
        <v>46</v>
      </c>
      <c r="O182" s="11">
        <v>1365</v>
      </c>
      <c r="P182" s="85">
        <v>1.3304093567251463</v>
      </c>
      <c r="Q182" s="11">
        <v>1251</v>
      </c>
      <c r="R182" s="85">
        <v>1.219298245614035</v>
      </c>
      <c r="S182" s="29" t="s">
        <v>1999</v>
      </c>
      <c r="T182" s="29" t="s">
        <v>2030</v>
      </c>
    </row>
    <row r="183">
      <c r="B183" s="29" t="s">
        <v>1217</v>
      </c>
      <c r="C183" s="29" t="s">
        <v>1243</v>
      </c>
      <c r="D183" s="8" t="s">
        <v>1257</v>
      </c>
      <c r="E183" s="10" t="s">
        <v>1501</v>
      </c>
      <c r="F183" s="10"/>
      <c r="G183" s="10">
        <v>2</v>
      </c>
      <c r="H183" s="10">
        <v>1</v>
      </c>
      <c r="I183" s="10">
        <v>1</v>
      </c>
      <c r="J183" s="10">
        <v>1026</v>
      </c>
      <c r="K183" s="104">
        <v>45679</v>
      </c>
      <c r="L183" s="104">
        <v>45685</v>
      </c>
      <c r="M183" s="10" t="b">
        <v>0</v>
      </c>
      <c r="N183" s="10">
        <v>7</v>
      </c>
      <c r="O183" s="11">
        <v>1365</v>
      </c>
      <c r="P183" s="85">
        <v>1.3304093567251463</v>
      </c>
      <c r="Q183" s="11">
        <v>1365</v>
      </c>
      <c r="R183" s="85">
        <v>1.3304093567251463</v>
      </c>
      <c r="S183" s="29" t="s">
        <v>1999</v>
      </c>
      <c r="T183" s="29" t="s">
        <v>2030</v>
      </c>
    </row>
    <row r="184">
      <c r="B184" s="29" t="s">
        <v>1217</v>
      </c>
      <c r="C184" s="29" t="s">
        <v>1243</v>
      </c>
      <c r="D184" s="8" t="s">
        <v>1257</v>
      </c>
      <c r="E184" s="10" t="s">
        <v>1502</v>
      </c>
      <c r="F184" s="10"/>
      <c r="G184" s="10">
        <v>2</v>
      </c>
      <c r="H184" s="10">
        <v>1</v>
      </c>
      <c r="I184" s="10">
        <v>1</v>
      </c>
      <c r="J184" s="10">
        <v>1026</v>
      </c>
      <c r="K184" s="104">
        <v>45510</v>
      </c>
      <c r="L184" s="104">
        <v>45521</v>
      </c>
      <c r="M184" s="10" t="b">
        <v>0</v>
      </c>
      <c r="N184" s="10">
        <v>12</v>
      </c>
      <c r="O184" s="11">
        <v>1365</v>
      </c>
      <c r="P184" s="85">
        <v>1.3304093567251463</v>
      </c>
      <c r="Q184" s="11">
        <v>1251</v>
      </c>
      <c r="R184" s="85">
        <v>1.219298245614035</v>
      </c>
      <c r="S184" s="29" t="s">
        <v>1999</v>
      </c>
      <c r="T184" s="29" t="s">
        <v>2030</v>
      </c>
    </row>
    <row r="185">
      <c r="B185" s="29" t="s">
        <v>1217</v>
      </c>
      <c r="C185" s="29" t="s">
        <v>1243</v>
      </c>
      <c r="D185" s="8" t="s">
        <v>1257</v>
      </c>
      <c r="E185" s="10" t="s">
        <v>1503</v>
      </c>
      <c r="F185" s="10">
        <v>2</v>
      </c>
      <c r="G185" s="10">
        <v>2</v>
      </c>
      <c r="H185" s="10">
        <v>1</v>
      </c>
      <c r="I185" s="10">
        <v>1</v>
      </c>
      <c r="J185" s="10">
        <v>1026</v>
      </c>
      <c r="K185" s="104">
        <v>45502</v>
      </c>
      <c r="L185" s="104">
        <v>45526</v>
      </c>
      <c r="M185" s="10" t="b">
        <v>0</v>
      </c>
      <c r="N185" s="10">
        <v>25</v>
      </c>
      <c r="O185" s="11">
        <v>1365</v>
      </c>
      <c r="P185" s="85">
        <v>1.3304093567251463</v>
      </c>
      <c r="Q185" s="11">
        <v>1251</v>
      </c>
      <c r="R185" s="85">
        <v>1.219298245614035</v>
      </c>
      <c r="S185" s="29" t="s">
        <v>1999</v>
      </c>
      <c r="T185" s="29" t="s">
        <v>2030</v>
      </c>
    </row>
    <row r="186">
      <c r="B186" s="29" t="s">
        <v>1217</v>
      </c>
      <c r="C186" s="29" t="s">
        <v>1243</v>
      </c>
      <c r="D186" s="8" t="s">
        <v>1257</v>
      </c>
      <c r="E186" s="10" t="s">
        <v>1504</v>
      </c>
      <c r="F186" s="10">
        <v>2</v>
      </c>
      <c r="G186" s="10">
        <v>2</v>
      </c>
      <c r="H186" s="10">
        <v>1</v>
      </c>
      <c r="I186" s="10">
        <v>1</v>
      </c>
      <c r="J186" s="10">
        <v>1026</v>
      </c>
      <c r="K186" s="104">
        <v>45505</v>
      </c>
      <c r="L186" s="104">
        <v>45555</v>
      </c>
      <c r="M186" s="10" t="b">
        <v>0</v>
      </c>
      <c r="N186" s="10">
        <v>51</v>
      </c>
      <c r="O186" s="11">
        <v>1365</v>
      </c>
      <c r="P186" s="85">
        <v>1.3304093567251463</v>
      </c>
      <c r="Q186" s="11">
        <v>1096</v>
      </c>
      <c r="R186" s="85">
        <v>1.0682261208576997</v>
      </c>
      <c r="S186" s="29" t="s">
        <v>1999</v>
      </c>
      <c r="T186" s="29" t="s">
        <v>2030</v>
      </c>
    </row>
    <row r="187">
      <c r="B187" s="29" t="s">
        <v>1217</v>
      </c>
      <c r="C187" s="29" t="s">
        <v>1243</v>
      </c>
      <c r="D187" s="8" t="s">
        <v>1257</v>
      </c>
      <c r="E187" s="10" t="s">
        <v>1505</v>
      </c>
      <c r="F187" s="10"/>
      <c r="G187" s="10">
        <v>2</v>
      </c>
      <c r="H187" s="10">
        <v>1</v>
      </c>
      <c r="I187" s="10">
        <v>1</v>
      </c>
      <c r="J187" s="10">
        <v>1026</v>
      </c>
      <c r="K187" s="104">
        <v>45565</v>
      </c>
      <c r="L187" s="104">
        <v>45595</v>
      </c>
      <c r="M187" s="10" t="b">
        <v>0</v>
      </c>
      <c r="N187" s="10">
        <v>31</v>
      </c>
      <c r="O187" s="11">
        <v>1365</v>
      </c>
      <c r="P187" s="85">
        <v>1.3304093567251463</v>
      </c>
      <c r="Q187" s="11">
        <v>1365</v>
      </c>
      <c r="R187" s="85">
        <v>1.3304093567251463</v>
      </c>
      <c r="S187" s="29" t="s">
        <v>1999</v>
      </c>
      <c r="T187" s="29" t="s">
        <v>2030</v>
      </c>
    </row>
    <row r="188">
      <c r="B188" s="29" t="s">
        <v>1217</v>
      </c>
      <c r="C188" s="29" t="s">
        <v>1243</v>
      </c>
      <c r="D188" s="8" t="s">
        <v>1257</v>
      </c>
      <c r="E188" s="10" t="s">
        <v>1506</v>
      </c>
      <c r="F188" s="10"/>
      <c r="G188" s="10">
        <v>2</v>
      </c>
      <c r="H188" s="10">
        <v>1</v>
      </c>
      <c r="I188" s="10">
        <v>1</v>
      </c>
      <c r="J188" s="10">
        <v>1026</v>
      </c>
      <c r="K188" s="104">
        <v>45667</v>
      </c>
      <c r="L188" s="104">
        <v>45736</v>
      </c>
      <c r="M188" s="10" t="b">
        <v>0</v>
      </c>
      <c r="N188" s="10">
        <v>70</v>
      </c>
      <c r="O188" s="11">
        <v>1365</v>
      </c>
      <c r="P188" s="85">
        <v>1.3304093567251463</v>
      </c>
      <c r="Q188" s="11">
        <v>1268</v>
      </c>
      <c r="R188" s="85">
        <v>1.2358674463937622</v>
      </c>
      <c r="S188" s="29" t="s">
        <v>1999</v>
      </c>
      <c r="T188" s="29" t="s">
        <v>2030</v>
      </c>
    </row>
    <row r="189">
      <c r="B189" s="29" t="s">
        <v>1217</v>
      </c>
      <c r="C189" s="29" t="s">
        <v>1243</v>
      </c>
      <c r="D189" s="8" t="s">
        <v>1257</v>
      </c>
      <c r="E189" s="10" t="s">
        <v>1507</v>
      </c>
      <c r="F189" s="10"/>
      <c r="G189" s="10">
        <v>2</v>
      </c>
      <c r="H189" s="10">
        <v>1</v>
      </c>
      <c r="I189" s="10">
        <v>1</v>
      </c>
      <c r="J189" s="10">
        <v>1026</v>
      </c>
      <c r="K189" s="104">
        <v>45775</v>
      </c>
      <c r="L189" s="104">
        <v>45776</v>
      </c>
      <c r="M189" s="10" t="b">
        <v>0</v>
      </c>
      <c r="N189" s="10">
        <v>2</v>
      </c>
      <c r="O189" s="11">
        <v>1365</v>
      </c>
      <c r="P189" s="85">
        <v>1.3304093567251463</v>
      </c>
      <c r="Q189" s="11">
        <v>1365</v>
      </c>
      <c r="R189" s="85">
        <v>1.3304093567251463</v>
      </c>
      <c r="S189" s="29" t="s">
        <v>1999</v>
      </c>
      <c r="T189" s="29" t="s">
        <v>2030</v>
      </c>
    </row>
    <row r="190">
      <c r="B190" s="29" t="s">
        <v>1217</v>
      </c>
      <c r="C190" s="29" t="s">
        <v>1243</v>
      </c>
      <c r="D190" s="8" t="s">
        <v>1257</v>
      </c>
      <c r="E190" s="10" t="s">
        <v>1508</v>
      </c>
      <c r="F190" s="10"/>
      <c r="G190" s="10">
        <v>2</v>
      </c>
      <c r="H190" s="10">
        <v>1</v>
      </c>
      <c r="I190" s="10">
        <v>1</v>
      </c>
      <c r="J190" s="10">
        <v>1026</v>
      </c>
      <c r="K190" s="104">
        <v>45474</v>
      </c>
      <c r="L190" s="104">
        <v>45483</v>
      </c>
      <c r="M190" s="10" t="b">
        <v>0</v>
      </c>
      <c r="N190" s="10">
        <v>10</v>
      </c>
      <c r="O190" s="11">
        <v>1365</v>
      </c>
      <c r="P190" s="85">
        <v>1.3304093567251463</v>
      </c>
      <c r="Q190" s="11">
        <v>1365</v>
      </c>
      <c r="R190" s="85">
        <v>1.3304093567251463</v>
      </c>
      <c r="S190" s="29" t="s">
        <v>1999</v>
      </c>
      <c r="T190" s="29" t="s">
        <v>2030</v>
      </c>
    </row>
    <row r="191">
      <c r="B191" s="29" t="s">
        <v>1217</v>
      </c>
      <c r="C191" s="29" t="s">
        <v>1243</v>
      </c>
      <c r="D191" s="8" t="s">
        <v>1257</v>
      </c>
      <c r="E191" s="10" t="s">
        <v>1509</v>
      </c>
      <c r="F191" s="10"/>
      <c r="G191" s="10">
        <v>2</v>
      </c>
      <c r="H191" s="10">
        <v>1</v>
      </c>
      <c r="I191" s="10">
        <v>1</v>
      </c>
      <c r="J191" s="10">
        <v>1026</v>
      </c>
      <c r="K191" s="104">
        <v>45444</v>
      </c>
      <c r="L191" s="104">
        <v>45491</v>
      </c>
      <c r="M191" s="10" t="b">
        <v>0</v>
      </c>
      <c r="N191" s="10">
        <v>48</v>
      </c>
      <c r="O191" s="11">
        <v>1365</v>
      </c>
      <c r="P191" s="85">
        <v>1.3304093567251463</v>
      </c>
      <c r="Q191" s="11">
        <v>1282</v>
      </c>
      <c r="R191" s="85">
        <v>1.2495126705653021</v>
      </c>
      <c r="S191" s="29" t="s">
        <v>1999</v>
      </c>
      <c r="T191" s="29" t="s">
        <v>2030</v>
      </c>
    </row>
    <row r="192">
      <c r="B192" s="29" t="s">
        <v>1217</v>
      </c>
      <c r="C192" s="29" t="s">
        <v>1243</v>
      </c>
      <c r="D192" s="8" t="s">
        <v>1257</v>
      </c>
      <c r="E192" s="10" t="s">
        <v>1510</v>
      </c>
      <c r="F192" s="10"/>
      <c r="G192" s="10">
        <v>2</v>
      </c>
      <c r="H192" s="10">
        <v>1</v>
      </c>
      <c r="I192" s="10">
        <v>1</v>
      </c>
      <c r="J192" s="10">
        <v>1026</v>
      </c>
      <c r="K192" s="104">
        <v>45670</v>
      </c>
      <c r="L192" s="104">
        <v>45689</v>
      </c>
      <c r="M192" s="10" t="b">
        <v>0</v>
      </c>
      <c r="N192" s="10">
        <v>20</v>
      </c>
      <c r="O192" s="11">
        <v>1365</v>
      </c>
      <c r="P192" s="85">
        <v>1.3304093567251463</v>
      </c>
      <c r="Q192" s="11">
        <v>1365</v>
      </c>
      <c r="R192" s="85">
        <v>1.3304093567251463</v>
      </c>
      <c r="S192" s="29" t="s">
        <v>1999</v>
      </c>
      <c r="T192" s="29" t="s">
        <v>2030</v>
      </c>
    </row>
    <row r="193">
      <c r="B193" s="29" t="s">
        <v>1217</v>
      </c>
      <c r="C193" s="29" t="s">
        <v>1243</v>
      </c>
      <c r="D193" s="8" t="s">
        <v>1257</v>
      </c>
      <c r="E193" s="10" t="s">
        <v>1511</v>
      </c>
      <c r="F193" s="10"/>
      <c r="G193" s="10">
        <v>2</v>
      </c>
      <c r="H193" s="10">
        <v>1</v>
      </c>
      <c r="I193" s="10">
        <v>1</v>
      </c>
      <c r="J193" s="10">
        <v>1026</v>
      </c>
      <c r="K193" s="104">
        <v>45403</v>
      </c>
      <c r="L193" s="104">
        <v>45408</v>
      </c>
      <c r="M193" s="10" t="b">
        <v>0</v>
      </c>
      <c r="N193" s="10">
        <v>6</v>
      </c>
      <c r="O193" s="11">
        <v>1365</v>
      </c>
      <c r="P193" s="85">
        <v>1.3304093567251463</v>
      </c>
      <c r="Q193" s="11">
        <v>1365</v>
      </c>
      <c r="R193" s="85">
        <v>1.3304093567251463</v>
      </c>
      <c r="S193" s="29" t="s">
        <v>1999</v>
      </c>
      <c r="T193" s="29" t="s">
        <v>2030</v>
      </c>
    </row>
    <row r="194">
      <c r="B194" s="29" t="s">
        <v>1217</v>
      </c>
      <c r="C194" s="29" t="s">
        <v>1243</v>
      </c>
      <c r="D194" s="8" t="s">
        <v>1257</v>
      </c>
      <c r="E194" s="10" t="s">
        <v>1512</v>
      </c>
      <c r="F194" s="10"/>
      <c r="G194" s="10">
        <v>2</v>
      </c>
      <c r="H194" s="10">
        <v>1</v>
      </c>
      <c r="I194" s="10">
        <v>1</v>
      </c>
      <c r="J194" s="10">
        <v>1026</v>
      </c>
      <c r="K194" s="104">
        <v>45665</v>
      </c>
      <c r="L194" s="104">
        <v>45698</v>
      </c>
      <c r="M194" s="10" t="b">
        <v>0</v>
      </c>
      <c r="N194" s="10">
        <v>34</v>
      </c>
      <c r="O194" s="11">
        <v>1365</v>
      </c>
      <c r="P194" s="85">
        <v>1.3304093567251463</v>
      </c>
      <c r="Q194" s="11">
        <v>1365</v>
      </c>
      <c r="R194" s="85">
        <v>1.3304093567251463</v>
      </c>
      <c r="S194" s="29" t="s">
        <v>1999</v>
      </c>
      <c r="T194" s="29" t="s">
        <v>2030</v>
      </c>
    </row>
    <row r="195">
      <c r="B195" s="29" t="s">
        <v>1217</v>
      </c>
      <c r="C195" s="29" t="s">
        <v>1243</v>
      </c>
      <c r="D195" s="8" t="s">
        <v>1257</v>
      </c>
      <c r="E195" s="10" t="s">
        <v>1513</v>
      </c>
      <c r="F195" s="10">
        <v>3</v>
      </c>
      <c r="G195" s="10">
        <v>2</v>
      </c>
      <c r="H195" s="10">
        <v>1</v>
      </c>
      <c r="I195" s="10">
        <v>1</v>
      </c>
      <c r="J195" s="10">
        <v>1026</v>
      </c>
      <c r="K195" s="104">
        <v>45338</v>
      </c>
      <c r="L195" s="104">
        <v>45435</v>
      </c>
      <c r="M195" s="10" t="b">
        <v>0</v>
      </c>
      <c r="N195" s="10">
        <v>98</v>
      </c>
      <c r="O195" s="11">
        <v>1365</v>
      </c>
      <c r="P195" s="85">
        <v>1.3304093567251463</v>
      </c>
      <c r="Q195" s="11">
        <v>1323</v>
      </c>
      <c r="R195" s="85">
        <v>1.2894736842105263</v>
      </c>
      <c r="S195" s="29" t="s">
        <v>1999</v>
      </c>
      <c r="T195" s="29" t="s">
        <v>2030</v>
      </c>
    </row>
    <row r="196">
      <c r="B196" s="29" t="s">
        <v>1217</v>
      </c>
      <c r="C196" s="29" t="s">
        <v>1243</v>
      </c>
      <c r="D196" s="8" t="s">
        <v>1257</v>
      </c>
      <c r="E196" s="10" t="s">
        <v>1514</v>
      </c>
      <c r="F196" s="10"/>
      <c r="G196" s="10">
        <v>2</v>
      </c>
      <c r="H196" s="10">
        <v>1</v>
      </c>
      <c r="I196" s="10">
        <v>1</v>
      </c>
      <c r="J196" s="10">
        <v>1026</v>
      </c>
      <c r="K196" s="104">
        <v>45567</v>
      </c>
      <c r="L196" s="104">
        <v>45605</v>
      </c>
      <c r="M196" s="10" t="b">
        <v>0</v>
      </c>
      <c r="N196" s="10">
        <v>39</v>
      </c>
      <c r="O196" s="11">
        <v>1365</v>
      </c>
      <c r="P196" s="85">
        <v>1.3304093567251463</v>
      </c>
      <c r="Q196" s="11">
        <v>1365</v>
      </c>
      <c r="R196" s="85">
        <v>1.3304093567251463</v>
      </c>
      <c r="S196" s="29" t="s">
        <v>1999</v>
      </c>
      <c r="T196" s="29" t="s">
        <v>2030</v>
      </c>
    </row>
    <row r="197">
      <c r="B197" s="29" t="s">
        <v>1217</v>
      </c>
      <c r="C197" s="29" t="s">
        <v>1243</v>
      </c>
      <c r="D197" s="8" t="s">
        <v>1257</v>
      </c>
      <c r="E197" s="10" t="s">
        <v>1515</v>
      </c>
      <c r="F197" s="10">
        <v>3</v>
      </c>
      <c r="G197" s="10">
        <v>2</v>
      </c>
      <c r="H197" s="10">
        <v>1</v>
      </c>
      <c r="I197" s="10">
        <v>1</v>
      </c>
      <c r="J197" s="10">
        <v>1026</v>
      </c>
      <c r="K197" s="104">
        <v>45775</v>
      </c>
      <c r="L197" s="104">
        <v>45778</v>
      </c>
      <c r="M197" s="10" t="b">
        <v>0</v>
      </c>
      <c r="N197" s="10">
        <v>4</v>
      </c>
      <c r="O197" s="11">
        <v>1365</v>
      </c>
      <c r="P197" s="85">
        <v>1.3304093567251463</v>
      </c>
      <c r="Q197" s="11">
        <v>1365</v>
      </c>
      <c r="R197" s="85">
        <v>1.3304093567251463</v>
      </c>
      <c r="S197" s="29" t="s">
        <v>1999</v>
      </c>
      <c r="T197" s="29" t="s">
        <v>2030</v>
      </c>
    </row>
    <row r="198">
      <c r="B198" s="29" t="s">
        <v>1217</v>
      </c>
      <c r="C198" s="29" t="s">
        <v>1243</v>
      </c>
      <c r="D198" s="8" t="s">
        <v>1257</v>
      </c>
      <c r="E198" s="10" t="s">
        <v>1516</v>
      </c>
      <c r="F198" s="10">
        <v>3</v>
      </c>
      <c r="G198" s="10">
        <v>2</v>
      </c>
      <c r="H198" s="10">
        <v>1</v>
      </c>
      <c r="I198" s="10">
        <v>1</v>
      </c>
      <c r="J198" s="10">
        <v>1026</v>
      </c>
      <c r="K198" s="104">
        <v>45355</v>
      </c>
      <c r="L198" s="104">
        <v>45443</v>
      </c>
      <c r="M198" s="10" t="b">
        <v>0</v>
      </c>
      <c r="N198" s="10">
        <v>89</v>
      </c>
      <c r="O198" s="11">
        <v>1365</v>
      </c>
      <c r="P198" s="85">
        <v>1.3304093567251463</v>
      </c>
      <c r="Q198" s="11">
        <v>1323</v>
      </c>
      <c r="R198" s="85">
        <v>1.2894736842105263</v>
      </c>
      <c r="S198" s="29" t="s">
        <v>2000</v>
      </c>
      <c r="T198" s="29" t="s">
        <v>2030</v>
      </c>
    </row>
    <row r="199">
      <c r="B199" s="29" t="s">
        <v>1217</v>
      </c>
      <c r="C199" s="29" t="s">
        <v>1243</v>
      </c>
      <c r="D199" s="8" t="s">
        <v>1257</v>
      </c>
      <c r="E199" s="10" t="s">
        <v>1517</v>
      </c>
      <c r="F199" s="10"/>
      <c r="G199" s="10">
        <v>2</v>
      </c>
      <c r="H199" s="10">
        <v>1</v>
      </c>
      <c r="I199" s="10">
        <v>1</v>
      </c>
      <c r="J199" s="10">
        <v>1026</v>
      </c>
      <c r="K199" s="104">
        <v>45568</v>
      </c>
      <c r="L199" s="104">
        <v>45599</v>
      </c>
      <c r="M199" s="10" t="b">
        <v>0</v>
      </c>
      <c r="N199" s="10">
        <v>32</v>
      </c>
      <c r="O199" s="11">
        <v>1365</v>
      </c>
      <c r="P199" s="85">
        <v>1.3304093567251463</v>
      </c>
      <c r="Q199" s="11">
        <v>1365</v>
      </c>
      <c r="R199" s="85">
        <v>1.3304093567251463</v>
      </c>
      <c r="S199" s="29" t="s">
        <v>1999</v>
      </c>
      <c r="T199" s="29" t="s">
        <v>2030</v>
      </c>
    </row>
    <row r="200">
      <c r="B200" s="29" t="s">
        <v>1217</v>
      </c>
      <c r="C200" s="29" t="s">
        <v>1243</v>
      </c>
      <c r="D200" s="8" t="s">
        <v>1257</v>
      </c>
      <c r="E200" s="10" t="s">
        <v>1518</v>
      </c>
      <c r="F200" s="10"/>
      <c r="G200" s="10">
        <v>2</v>
      </c>
      <c r="H200" s="10">
        <v>1</v>
      </c>
      <c r="I200" s="10">
        <v>1</v>
      </c>
      <c r="J200" s="10">
        <v>1026</v>
      </c>
      <c r="K200" s="104">
        <v>45566</v>
      </c>
      <c r="L200" s="104">
        <v>45597</v>
      </c>
      <c r="M200" s="10" t="b">
        <v>0</v>
      </c>
      <c r="N200" s="10">
        <v>32</v>
      </c>
      <c r="O200" s="11">
        <v>1365</v>
      </c>
      <c r="P200" s="85">
        <v>1.3304093567251463</v>
      </c>
      <c r="Q200" s="11">
        <v>1365</v>
      </c>
      <c r="R200" s="85">
        <v>1.3304093567251463</v>
      </c>
      <c r="S200" s="29" t="s">
        <v>1999</v>
      </c>
      <c r="T200" s="29" t="s">
        <v>2030</v>
      </c>
    </row>
    <row r="201">
      <c r="B201" s="29" t="s">
        <v>1217</v>
      </c>
      <c r="C201" s="29" t="s">
        <v>1243</v>
      </c>
      <c r="D201" s="8" t="s">
        <v>1257</v>
      </c>
      <c r="E201" s="10" t="s">
        <v>1519</v>
      </c>
      <c r="F201" s="10"/>
      <c r="G201" s="10">
        <v>2</v>
      </c>
      <c r="H201" s="10">
        <v>1</v>
      </c>
      <c r="I201" s="10">
        <v>1</v>
      </c>
      <c r="J201" s="10">
        <v>1026</v>
      </c>
      <c r="K201" s="104">
        <v>45713</v>
      </c>
      <c r="L201" s="104">
        <v>45730</v>
      </c>
      <c r="M201" s="10" t="b">
        <v>0</v>
      </c>
      <c r="N201" s="10">
        <v>18</v>
      </c>
      <c r="O201" s="11">
        <v>1365</v>
      </c>
      <c r="P201" s="85">
        <v>1.3304093567251463</v>
      </c>
      <c r="Q201" s="11">
        <v>1268</v>
      </c>
      <c r="R201" s="85">
        <v>1.2358674463937622</v>
      </c>
      <c r="S201" s="29" t="s">
        <v>1999</v>
      </c>
      <c r="T201" s="29" t="s">
        <v>2030</v>
      </c>
    </row>
    <row r="202">
      <c r="B202" s="29" t="s">
        <v>1217</v>
      </c>
      <c r="C202" s="29" t="s">
        <v>1243</v>
      </c>
      <c r="D202" s="8" t="s">
        <v>1257</v>
      </c>
      <c r="E202" s="10" t="s">
        <v>1520</v>
      </c>
      <c r="F202" s="10"/>
      <c r="G202" s="10">
        <v>2</v>
      </c>
      <c r="H202" s="10">
        <v>1</v>
      </c>
      <c r="I202" s="10">
        <v>1</v>
      </c>
      <c r="J202" s="10">
        <v>1026</v>
      </c>
      <c r="K202" s="104">
        <v>45108</v>
      </c>
      <c r="L202" s="104">
        <v>45118</v>
      </c>
      <c r="M202" s="10" t="b">
        <v>0</v>
      </c>
      <c r="N202" s="10">
        <v>11</v>
      </c>
      <c r="O202" s="11">
        <v>1390</v>
      </c>
      <c r="P202" s="85">
        <v>1.354775828460039</v>
      </c>
      <c r="Q202" s="11">
        <v>1390</v>
      </c>
      <c r="R202" s="85">
        <v>1.354775828460039</v>
      </c>
      <c r="S202" s="29" t="s">
        <v>1998</v>
      </c>
      <c r="T202" s="29" t="s">
        <v>1998</v>
      </c>
    </row>
    <row r="203">
      <c r="B203" s="29" t="s">
        <v>1217</v>
      </c>
      <c r="C203" s="29" t="s">
        <v>1243</v>
      </c>
      <c r="D203" s="8" t="s">
        <v>1257</v>
      </c>
      <c r="E203" s="10" t="s">
        <v>1521</v>
      </c>
      <c r="F203" s="10">
        <v>3</v>
      </c>
      <c r="G203" s="10">
        <v>2</v>
      </c>
      <c r="H203" s="10">
        <v>1</v>
      </c>
      <c r="I203" s="10">
        <v>1</v>
      </c>
      <c r="J203" s="10">
        <v>1026</v>
      </c>
      <c r="K203" s="104">
        <v>45316</v>
      </c>
      <c r="L203" s="104">
        <v>45323</v>
      </c>
      <c r="M203" s="10" t="b">
        <v>0</v>
      </c>
      <c r="N203" s="10">
        <v>8</v>
      </c>
      <c r="O203" s="11">
        <v>1390</v>
      </c>
      <c r="P203" s="85">
        <v>1.354775828460039</v>
      </c>
      <c r="Q203" s="11">
        <v>1274</v>
      </c>
      <c r="R203" s="85">
        <v>1.2417153996101364</v>
      </c>
      <c r="S203" s="29" t="s">
        <v>1998</v>
      </c>
      <c r="T203" s="29" t="s">
        <v>1998</v>
      </c>
    </row>
    <row r="204">
      <c r="B204" s="29" t="s">
        <v>1217</v>
      </c>
      <c r="C204" s="29" t="s">
        <v>1243</v>
      </c>
      <c r="D204" s="8" t="s">
        <v>1257</v>
      </c>
      <c r="E204" s="10" t="s">
        <v>1522</v>
      </c>
      <c r="F204" s="10"/>
      <c r="G204" s="10">
        <v>2</v>
      </c>
      <c r="H204" s="10">
        <v>1</v>
      </c>
      <c r="I204" s="10">
        <v>1</v>
      </c>
      <c r="J204" s="10">
        <v>1026</v>
      </c>
      <c r="K204" s="104">
        <v>45251</v>
      </c>
      <c r="L204" s="104">
        <v>45275</v>
      </c>
      <c r="M204" s="10" t="b">
        <v>0</v>
      </c>
      <c r="N204" s="10">
        <v>25</v>
      </c>
      <c r="O204" s="11">
        <v>1390</v>
      </c>
      <c r="P204" s="85">
        <v>1.354775828460039</v>
      </c>
      <c r="Q204" s="11">
        <v>1390</v>
      </c>
      <c r="R204" s="85">
        <v>1.354775828460039</v>
      </c>
      <c r="S204" s="29" t="s">
        <v>1998</v>
      </c>
      <c r="T204" s="29" t="s">
        <v>1998</v>
      </c>
    </row>
    <row r="205">
      <c r="B205" s="29" t="s">
        <v>1217</v>
      </c>
      <c r="C205" s="29" t="s">
        <v>1243</v>
      </c>
      <c r="D205" s="8" t="s">
        <v>1257</v>
      </c>
      <c r="E205" s="10" t="s">
        <v>1523</v>
      </c>
      <c r="F205" s="10"/>
      <c r="G205" s="10">
        <v>2</v>
      </c>
      <c r="H205" s="10">
        <v>1</v>
      </c>
      <c r="I205" s="10">
        <v>1</v>
      </c>
      <c r="J205" s="10">
        <v>1026</v>
      </c>
      <c r="K205" s="104"/>
      <c r="L205" s="104">
        <v>45123</v>
      </c>
      <c r="M205" s="10" t="b">
        <v>0</v>
      </c>
      <c r="N205" s="10"/>
      <c r="O205" s="11">
        <v>1390</v>
      </c>
      <c r="P205" s="85">
        <v>1.354775828460039</v>
      </c>
      <c r="Q205" s="11">
        <v>1390</v>
      </c>
      <c r="R205" s="85">
        <v>1.354775828460039</v>
      </c>
      <c r="S205" s="29" t="s">
        <v>1998</v>
      </c>
      <c r="T205" s="29" t="s">
        <v>1998</v>
      </c>
    </row>
    <row r="206">
      <c r="B206" s="29" t="s">
        <v>1217</v>
      </c>
      <c r="C206" s="29" t="s">
        <v>1243</v>
      </c>
      <c r="D206" s="8" t="s">
        <v>1257</v>
      </c>
      <c r="E206" s="10" t="s">
        <v>1524</v>
      </c>
      <c r="F206" s="10"/>
      <c r="G206" s="10">
        <v>2</v>
      </c>
      <c r="H206" s="10">
        <v>1</v>
      </c>
      <c r="I206" s="10">
        <v>1</v>
      </c>
      <c r="J206" s="10">
        <v>1026</v>
      </c>
      <c r="K206" s="104">
        <v>45218</v>
      </c>
      <c r="L206" s="104">
        <v>45234</v>
      </c>
      <c r="M206" s="10" t="b">
        <v>0</v>
      </c>
      <c r="N206" s="10">
        <v>17</v>
      </c>
      <c r="O206" s="11">
        <v>1390</v>
      </c>
      <c r="P206" s="85">
        <v>1.354775828460039</v>
      </c>
      <c r="Q206" s="11">
        <v>1390</v>
      </c>
      <c r="R206" s="85">
        <v>1.354775828460039</v>
      </c>
      <c r="S206" s="29" t="s">
        <v>1998</v>
      </c>
      <c r="T206" s="29" t="s">
        <v>1998</v>
      </c>
    </row>
    <row r="207">
      <c r="B207" s="29" t="s">
        <v>1217</v>
      </c>
      <c r="C207" s="29" t="s">
        <v>1243</v>
      </c>
      <c r="D207" s="8" t="s">
        <v>1257</v>
      </c>
      <c r="E207" s="10" t="s">
        <v>1525</v>
      </c>
      <c r="F207" s="10"/>
      <c r="G207" s="10">
        <v>2</v>
      </c>
      <c r="H207" s="10">
        <v>1</v>
      </c>
      <c r="I207" s="10">
        <v>1</v>
      </c>
      <c r="J207" s="10">
        <v>1026</v>
      </c>
      <c r="K207" s="104">
        <v>45098</v>
      </c>
      <c r="L207" s="104">
        <v>45103</v>
      </c>
      <c r="M207" s="10" t="b">
        <v>0</v>
      </c>
      <c r="N207" s="10">
        <v>6</v>
      </c>
      <c r="O207" s="11">
        <v>1390</v>
      </c>
      <c r="P207" s="85">
        <v>1.354775828460039</v>
      </c>
      <c r="Q207" s="11">
        <v>1390</v>
      </c>
      <c r="R207" s="85">
        <v>1.354775828460039</v>
      </c>
      <c r="S207" s="29" t="s">
        <v>1998</v>
      </c>
      <c r="T207" s="29" t="s">
        <v>1998</v>
      </c>
    </row>
    <row r="208">
      <c r="B208" s="29" t="s">
        <v>1217</v>
      </c>
      <c r="C208" s="29" t="s">
        <v>1243</v>
      </c>
      <c r="D208" s="8" t="s">
        <v>1257</v>
      </c>
      <c r="E208" s="10" t="s">
        <v>1526</v>
      </c>
      <c r="F208" s="10"/>
      <c r="G208" s="10">
        <v>2</v>
      </c>
      <c r="H208" s="10">
        <v>1</v>
      </c>
      <c r="I208" s="10">
        <v>1</v>
      </c>
      <c r="J208" s="10">
        <v>1026</v>
      </c>
      <c r="K208" s="104">
        <v>45606</v>
      </c>
      <c r="L208" s="104">
        <v>45649</v>
      </c>
      <c r="M208" s="10" t="b">
        <v>0</v>
      </c>
      <c r="N208" s="10">
        <v>44</v>
      </c>
      <c r="O208" s="11">
        <v>1440</v>
      </c>
      <c r="P208" s="85">
        <v>1.4035087719298245</v>
      </c>
      <c r="Q208" s="11">
        <v>1440</v>
      </c>
      <c r="R208" s="85">
        <v>1.4035087719298245</v>
      </c>
      <c r="S208" s="29" t="s">
        <v>2001</v>
      </c>
      <c r="T208" s="29" t="s">
        <v>2032</v>
      </c>
    </row>
    <row r="209">
      <c r="B209" s="29" t="s">
        <v>1217</v>
      </c>
      <c r="C209" s="29" t="s">
        <v>1243</v>
      </c>
      <c r="D209" s="8" t="s">
        <v>1257</v>
      </c>
      <c r="E209" s="10" t="s">
        <v>1527</v>
      </c>
      <c r="F209" s="10"/>
      <c r="G209" s="10">
        <v>2</v>
      </c>
      <c r="H209" s="10">
        <v>1</v>
      </c>
      <c r="I209" s="10">
        <v>1</v>
      </c>
      <c r="J209" s="10">
        <v>1026</v>
      </c>
      <c r="K209" s="104">
        <v>45667</v>
      </c>
      <c r="L209" s="104">
        <v>45690</v>
      </c>
      <c r="M209" s="10" t="b">
        <v>0</v>
      </c>
      <c r="N209" s="10">
        <v>24</v>
      </c>
      <c r="O209" s="11">
        <v>1440</v>
      </c>
      <c r="P209" s="85">
        <v>1.4035087719298245</v>
      </c>
      <c r="Q209" s="11">
        <v>1440</v>
      </c>
      <c r="R209" s="85">
        <v>1.4035087719298245</v>
      </c>
      <c r="S209" s="29" t="s">
        <v>2001</v>
      </c>
      <c r="T209" s="29" t="s">
        <v>2032</v>
      </c>
    </row>
    <row r="210">
      <c r="B210" s="29" t="s">
        <v>1217</v>
      </c>
      <c r="C210" s="29" t="s">
        <v>1243</v>
      </c>
      <c r="D210" s="8" t="s">
        <v>1257</v>
      </c>
      <c r="E210" s="10" t="s">
        <v>1528</v>
      </c>
      <c r="F210" s="10">
        <v>3</v>
      </c>
      <c r="G210" s="10">
        <v>2</v>
      </c>
      <c r="H210" s="10">
        <v>1</v>
      </c>
      <c r="I210" s="10">
        <v>1</v>
      </c>
      <c r="J210" s="10">
        <v>1026</v>
      </c>
      <c r="K210" s="104">
        <v>45666</v>
      </c>
      <c r="L210" s="104">
        <v>45687</v>
      </c>
      <c r="M210" s="10" t="b">
        <v>0</v>
      </c>
      <c r="N210" s="10">
        <v>22</v>
      </c>
      <c r="O210" s="11">
        <v>1440</v>
      </c>
      <c r="P210" s="85">
        <v>1.4035087719298245</v>
      </c>
      <c r="Q210" s="11">
        <v>1440</v>
      </c>
      <c r="R210" s="85">
        <v>1.4035087719298245</v>
      </c>
      <c r="S210" s="29" t="s">
        <v>2001</v>
      </c>
      <c r="T210" s="29" t="s">
        <v>2032</v>
      </c>
    </row>
    <row r="211">
      <c r="B211" s="29" t="s">
        <v>1217</v>
      </c>
      <c r="C211" s="29" t="s">
        <v>1243</v>
      </c>
      <c r="D211" s="8" t="s">
        <v>1257</v>
      </c>
      <c r="E211" s="10" t="s">
        <v>1529</v>
      </c>
      <c r="F211" s="10">
        <v>2</v>
      </c>
      <c r="G211" s="10">
        <v>2</v>
      </c>
      <c r="H211" s="10">
        <v>1</v>
      </c>
      <c r="I211" s="10">
        <v>1</v>
      </c>
      <c r="J211" s="10">
        <v>1026</v>
      </c>
      <c r="K211" s="104">
        <v>45648</v>
      </c>
      <c r="L211" s="104">
        <v>45656</v>
      </c>
      <c r="M211" s="10" t="b">
        <v>0</v>
      </c>
      <c r="N211" s="10">
        <v>9</v>
      </c>
      <c r="O211" s="11">
        <v>1440</v>
      </c>
      <c r="P211" s="85">
        <v>1.4035087719298245</v>
      </c>
      <c r="Q211" s="11">
        <v>1440</v>
      </c>
      <c r="R211" s="85">
        <v>1.4035087719298245</v>
      </c>
      <c r="S211" s="29" t="s">
        <v>2001</v>
      </c>
      <c r="T211" s="29" t="s">
        <v>2032</v>
      </c>
    </row>
    <row r="212">
      <c r="B212" s="29" t="s">
        <v>1217</v>
      </c>
      <c r="C212" s="29" t="s">
        <v>1243</v>
      </c>
      <c r="D212" s="8" t="s">
        <v>1257</v>
      </c>
      <c r="E212" s="10" t="s">
        <v>1530</v>
      </c>
      <c r="F212" s="10">
        <v>3</v>
      </c>
      <c r="G212" s="10">
        <v>2</v>
      </c>
      <c r="H212" s="10">
        <v>1</v>
      </c>
      <c r="I212" s="10">
        <v>1</v>
      </c>
      <c r="J212" s="10">
        <v>1026</v>
      </c>
      <c r="K212" s="104">
        <v>45587</v>
      </c>
      <c r="L212" s="104">
        <v>45615</v>
      </c>
      <c r="M212" s="10" t="b">
        <v>0</v>
      </c>
      <c r="N212" s="10">
        <v>29</v>
      </c>
      <c r="O212" s="11">
        <v>1440</v>
      </c>
      <c r="P212" s="85">
        <v>1.4035087719298245</v>
      </c>
      <c r="Q212" s="11">
        <v>1440</v>
      </c>
      <c r="R212" s="85">
        <v>1.4035087719298245</v>
      </c>
      <c r="S212" s="29" t="s">
        <v>2001</v>
      </c>
      <c r="T212" s="29" t="s">
        <v>2032</v>
      </c>
    </row>
    <row r="213">
      <c r="B213" s="29" t="s">
        <v>1217</v>
      </c>
      <c r="C213" s="29" t="s">
        <v>1243</v>
      </c>
      <c r="D213" s="8" t="s">
        <v>1257</v>
      </c>
      <c r="E213" s="10" t="s">
        <v>1531</v>
      </c>
      <c r="F213" s="10">
        <v>3</v>
      </c>
      <c r="G213" s="10">
        <v>2</v>
      </c>
      <c r="H213" s="10">
        <v>1</v>
      </c>
      <c r="I213" s="10">
        <v>1</v>
      </c>
      <c r="J213" s="10">
        <v>1026</v>
      </c>
      <c r="K213" s="104">
        <v>45599</v>
      </c>
      <c r="L213" s="104">
        <v>45610</v>
      </c>
      <c r="M213" s="10" t="b">
        <v>0</v>
      </c>
      <c r="N213" s="10">
        <v>12</v>
      </c>
      <c r="O213" s="11">
        <v>1440</v>
      </c>
      <c r="P213" s="85">
        <v>1.4035087719298245</v>
      </c>
      <c r="Q213" s="11">
        <v>1440</v>
      </c>
      <c r="R213" s="85">
        <v>1.4035087719298245</v>
      </c>
      <c r="S213" s="29" t="s">
        <v>2001</v>
      </c>
      <c r="T213" s="29" t="s">
        <v>2032</v>
      </c>
    </row>
    <row r="214">
      <c r="B214" s="29" t="s">
        <v>1217</v>
      </c>
      <c r="C214" s="29" t="s">
        <v>1243</v>
      </c>
      <c r="D214" s="8" t="s">
        <v>1257</v>
      </c>
      <c r="E214" s="10" t="s">
        <v>1532</v>
      </c>
      <c r="F214" s="10">
        <v>1</v>
      </c>
      <c r="G214" s="10">
        <v>2</v>
      </c>
      <c r="H214" s="10">
        <v>1</v>
      </c>
      <c r="I214" s="10">
        <v>1</v>
      </c>
      <c r="J214" s="10">
        <v>1026</v>
      </c>
      <c r="K214" s="104">
        <v>45556</v>
      </c>
      <c r="L214" s="104">
        <v>45604</v>
      </c>
      <c r="M214" s="10" t="b">
        <v>0</v>
      </c>
      <c r="N214" s="10">
        <v>49</v>
      </c>
      <c r="O214" s="11">
        <v>1440</v>
      </c>
      <c r="P214" s="85">
        <v>1.4035087719298245</v>
      </c>
      <c r="Q214" s="11">
        <v>1440</v>
      </c>
      <c r="R214" s="85">
        <v>1.4035087719298245</v>
      </c>
      <c r="S214" s="29" t="s">
        <v>2001</v>
      </c>
      <c r="T214" s="29" t="s">
        <v>2032</v>
      </c>
    </row>
    <row r="215">
      <c r="B215" s="29" t="s">
        <v>1217</v>
      </c>
      <c r="C215" s="29" t="s">
        <v>1243</v>
      </c>
      <c r="D215" s="8" t="s">
        <v>1257</v>
      </c>
      <c r="E215" s="10" t="s">
        <v>1533</v>
      </c>
      <c r="F215" s="10"/>
      <c r="G215" s="10">
        <v>2</v>
      </c>
      <c r="H215" s="10">
        <v>1</v>
      </c>
      <c r="I215" s="10">
        <v>1</v>
      </c>
      <c r="J215" s="10">
        <v>1026</v>
      </c>
      <c r="K215" s="104">
        <v>45720</v>
      </c>
      <c r="L215" s="104">
        <v>45728</v>
      </c>
      <c r="M215" s="10" t="b">
        <v>0</v>
      </c>
      <c r="N215" s="10">
        <v>9</v>
      </c>
      <c r="O215" s="11">
        <v>1440</v>
      </c>
      <c r="P215" s="85">
        <v>1.4035087719298245</v>
      </c>
      <c r="Q215" s="11">
        <v>1337</v>
      </c>
      <c r="R215" s="85">
        <v>1.3031189083820662</v>
      </c>
      <c r="S215" s="29" t="s">
        <v>2001</v>
      </c>
      <c r="T215" s="29" t="s">
        <v>2032</v>
      </c>
    </row>
    <row r="216">
      <c r="B216" s="29" t="s">
        <v>1217</v>
      </c>
      <c r="C216" s="29" t="s">
        <v>1243</v>
      </c>
      <c r="D216" s="8" t="s">
        <v>1257</v>
      </c>
      <c r="E216" s="10" t="s">
        <v>1534</v>
      </c>
      <c r="F216" s="10"/>
      <c r="G216" s="10">
        <v>2</v>
      </c>
      <c r="H216" s="10">
        <v>1</v>
      </c>
      <c r="I216" s="10">
        <v>1</v>
      </c>
      <c r="J216" s="10">
        <v>1026</v>
      </c>
      <c r="K216" s="104">
        <v>45517</v>
      </c>
      <c r="L216" s="104">
        <v>45589</v>
      </c>
      <c r="M216" s="10" t="b">
        <v>0</v>
      </c>
      <c r="N216" s="10">
        <v>73</v>
      </c>
      <c r="O216" s="11">
        <v>1440</v>
      </c>
      <c r="P216" s="85">
        <v>1.4035087719298245</v>
      </c>
      <c r="Q216" s="11">
        <v>1440</v>
      </c>
      <c r="R216" s="85">
        <v>1.4035087719298245</v>
      </c>
      <c r="S216" s="29" t="s">
        <v>2001</v>
      </c>
      <c r="T216" s="29" t="s">
        <v>2032</v>
      </c>
    </row>
    <row r="217">
      <c r="B217" s="29" t="s">
        <v>1217</v>
      </c>
      <c r="C217" s="29" t="s">
        <v>1243</v>
      </c>
      <c r="D217" s="8" t="s">
        <v>1257</v>
      </c>
      <c r="E217" s="10" t="s">
        <v>1535</v>
      </c>
      <c r="F217" s="10"/>
      <c r="G217" s="10">
        <v>2</v>
      </c>
      <c r="H217" s="10">
        <v>1</v>
      </c>
      <c r="I217" s="10">
        <v>1</v>
      </c>
      <c r="J217" s="10">
        <v>1026</v>
      </c>
      <c r="K217" s="104">
        <v>45696</v>
      </c>
      <c r="L217" s="104">
        <v>45735</v>
      </c>
      <c r="M217" s="10" t="b">
        <v>0</v>
      </c>
      <c r="N217" s="10">
        <v>40</v>
      </c>
      <c r="O217" s="11">
        <v>1440</v>
      </c>
      <c r="P217" s="85">
        <v>1.4035087719298245</v>
      </c>
      <c r="Q217" s="11">
        <v>1337</v>
      </c>
      <c r="R217" s="85">
        <v>1.3031189083820662</v>
      </c>
      <c r="S217" s="29" t="s">
        <v>2001</v>
      </c>
      <c r="T217" s="29" t="s">
        <v>2032</v>
      </c>
    </row>
    <row r="218">
      <c r="B218" s="29" t="s">
        <v>1217</v>
      </c>
      <c r="C218" s="29" t="s">
        <v>1243</v>
      </c>
      <c r="D218" s="8" t="s">
        <v>1257</v>
      </c>
      <c r="E218" s="10" t="s">
        <v>1536</v>
      </c>
      <c r="F218" s="10"/>
      <c r="G218" s="10">
        <v>2</v>
      </c>
      <c r="H218" s="10">
        <v>1</v>
      </c>
      <c r="I218" s="10">
        <v>1</v>
      </c>
      <c r="J218" s="10">
        <v>1026</v>
      </c>
      <c r="K218" s="104">
        <v>45721</v>
      </c>
      <c r="L218" s="104">
        <v>45737</v>
      </c>
      <c r="M218" s="10" t="b">
        <v>0</v>
      </c>
      <c r="N218" s="10">
        <v>17</v>
      </c>
      <c r="O218" s="11">
        <v>1440</v>
      </c>
      <c r="P218" s="85">
        <v>1.4035087719298245</v>
      </c>
      <c r="Q218" s="11">
        <v>1440</v>
      </c>
      <c r="R218" s="85">
        <v>1.4035087719298245</v>
      </c>
      <c r="S218" s="29" t="s">
        <v>2001</v>
      </c>
      <c r="T218" s="29" t="s">
        <v>2032</v>
      </c>
    </row>
    <row r="219">
      <c r="B219" s="29" t="s">
        <v>1217</v>
      </c>
      <c r="C219" s="29" t="s">
        <v>1243</v>
      </c>
      <c r="D219" s="8" t="s">
        <v>1257</v>
      </c>
      <c r="E219" s="10" t="s">
        <v>1537</v>
      </c>
      <c r="F219" s="10"/>
      <c r="G219" s="10">
        <v>2</v>
      </c>
      <c r="H219" s="10">
        <v>1</v>
      </c>
      <c r="I219" s="10">
        <v>1</v>
      </c>
      <c r="J219" s="10">
        <v>1026</v>
      </c>
      <c r="K219" s="104">
        <v>45530</v>
      </c>
      <c r="L219" s="104">
        <v>45566</v>
      </c>
      <c r="M219" s="10" t="b">
        <v>0</v>
      </c>
      <c r="N219" s="10">
        <v>37</v>
      </c>
      <c r="O219" s="11">
        <v>1440</v>
      </c>
      <c r="P219" s="85">
        <v>1.4035087719298245</v>
      </c>
      <c r="Q219" s="11">
        <v>1440</v>
      </c>
      <c r="R219" s="85">
        <v>1.4035087719298245</v>
      </c>
      <c r="S219" s="29" t="s">
        <v>2001</v>
      </c>
      <c r="T219" s="29" t="s">
        <v>2032</v>
      </c>
    </row>
    <row r="220">
      <c r="B220" s="29" t="s">
        <v>1217</v>
      </c>
      <c r="C220" s="29" t="s">
        <v>1243</v>
      </c>
      <c r="D220" s="8" t="s">
        <v>1257</v>
      </c>
      <c r="E220" s="10" t="s">
        <v>1538</v>
      </c>
      <c r="F220" s="10">
        <v>3</v>
      </c>
      <c r="G220" s="10">
        <v>2</v>
      </c>
      <c r="H220" s="10">
        <v>1</v>
      </c>
      <c r="I220" s="10">
        <v>1</v>
      </c>
      <c r="J220" s="10">
        <v>1026</v>
      </c>
      <c r="K220" s="104">
        <v>45721</v>
      </c>
      <c r="L220" s="104">
        <v>45743</v>
      </c>
      <c r="M220" s="10" t="b">
        <v>0</v>
      </c>
      <c r="N220" s="10">
        <v>23</v>
      </c>
      <c r="O220" s="11">
        <v>1440</v>
      </c>
      <c r="P220" s="85">
        <v>1.4035087719298245</v>
      </c>
      <c r="Q220" s="11">
        <v>1440</v>
      </c>
      <c r="R220" s="85">
        <v>1.4035087719298245</v>
      </c>
      <c r="S220" s="29" t="s">
        <v>2005</v>
      </c>
      <c r="T220" s="29" t="s">
        <v>2032</v>
      </c>
    </row>
    <row r="221">
      <c r="B221" s="29" t="s">
        <v>1217</v>
      </c>
      <c r="C221" s="29" t="s">
        <v>1243</v>
      </c>
      <c r="D221" s="8" t="s">
        <v>1257</v>
      </c>
      <c r="E221" s="10" t="s">
        <v>1539</v>
      </c>
      <c r="F221" s="10"/>
      <c r="G221" s="10">
        <v>2</v>
      </c>
      <c r="H221" s="10">
        <v>1</v>
      </c>
      <c r="I221" s="10">
        <v>1</v>
      </c>
      <c r="J221" s="10">
        <v>1026</v>
      </c>
      <c r="K221" s="104">
        <v>45742</v>
      </c>
      <c r="L221" s="104">
        <v>45752</v>
      </c>
      <c r="M221" s="10" t="b">
        <v>0</v>
      </c>
      <c r="N221" s="10">
        <v>11</v>
      </c>
      <c r="O221" s="11">
        <v>1440</v>
      </c>
      <c r="P221" s="85">
        <v>1.4035087719298245</v>
      </c>
      <c r="Q221" s="11">
        <v>1440</v>
      </c>
      <c r="R221" s="85">
        <v>1.4035087719298245</v>
      </c>
      <c r="S221" s="29" t="s">
        <v>2001</v>
      </c>
      <c r="T221" s="29" t="s">
        <v>2032</v>
      </c>
    </row>
    <row r="222">
      <c r="B222" s="29" t="s">
        <v>1217</v>
      </c>
      <c r="C222" s="29" t="s">
        <v>1243</v>
      </c>
      <c r="D222" s="8" t="s">
        <v>1257</v>
      </c>
      <c r="E222" s="10" t="s">
        <v>1540</v>
      </c>
      <c r="F222" s="10"/>
      <c r="G222" s="10">
        <v>2</v>
      </c>
      <c r="H222" s="10">
        <v>1</v>
      </c>
      <c r="I222" s="10">
        <v>1</v>
      </c>
      <c r="J222" s="10">
        <v>1026</v>
      </c>
      <c r="K222" s="104">
        <v>45406</v>
      </c>
      <c r="L222" s="104">
        <v>45511</v>
      </c>
      <c r="M222" s="10" t="b">
        <v>0</v>
      </c>
      <c r="N222" s="10">
        <v>106</v>
      </c>
      <c r="O222" s="11">
        <v>1440</v>
      </c>
      <c r="P222" s="85">
        <v>1.4035087719298245</v>
      </c>
      <c r="Q222" s="11">
        <v>1440</v>
      </c>
      <c r="R222" s="85">
        <v>1.4035087719298245</v>
      </c>
      <c r="S222" s="29" t="s">
        <v>2001</v>
      </c>
      <c r="T222" s="29" t="s">
        <v>2032</v>
      </c>
    </row>
    <row r="223">
      <c r="B223" s="29" t="s">
        <v>1217</v>
      </c>
      <c r="C223" s="29" t="s">
        <v>1243</v>
      </c>
      <c r="D223" s="8" t="s">
        <v>1257</v>
      </c>
      <c r="E223" s="10" t="s">
        <v>1541</v>
      </c>
      <c r="F223" s="10"/>
      <c r="G223" s="10">
        <v>2</v>
      </c>
      <c r="H223" s="10">
        <v>1</v>
      </c>
      <c r="I223" s="10">
        <v>1</v>
      </c>
      <c r="J223" s="10">
        <v>1026</v>
      </c>
      <c r="K223" s="104">
        <v>45105</v>
      </c>
      <c r="L223" s="104">
        <v>45507</v>
      </c>
      <c r="M223" s="10" t="b">
        <v>0</v>
      </c>
      <c r="N223" s="10">
        <v>403</v>
      </c>
      <c r="O223" s="11">
        <v>1440</v>
      </c>
      <c r="P223" s="85">
        <v>1.4035087719298245</v>
      </c>
      <c r="Q223" s="11">
        <v>1237</v>
      </c>
      <c r="R223" s="85">
        <v>1.2056530214424952</v>
      </c>
      <c r="S223" s="29" t="s">
        <v>2001</v>
      </c>
      <c r="T223" s="29" t="s">
        <v>2032</v>
      </c>
    </row>
    <row r="224">
      <c r="B224" s="29" t="s">
        <v>1217</v>
      </c>
      <c r="C224" s="29" t="s">
        <v>1243</v>
      </c>
      <c r="D224" s="8" t="s">
        <v>1257</v>
      </c>
      <c r="E224" s="10" t="s">
        <v>1542</v>
      </c>
      <c r="F224" s="10"/>
      <c r="G224" s="10">
        <v>2</v>
      </c>
      <c r="H224" s="10">
        <v>1</v>
      </c>
      <c r="I224" s="10">
        <v>1</v>
      </c>
      <c r="J224" s="10">
        <v>1026</v>
      </c>
      <c r="K224" s="104">
        <v>45762</v>
      </c>
      <c r="L224" s="104">
        <v>45772</v>
      </c>
      <c r="M224" s="10" t="b">
        <v>0</v>
      </c>
      <c r="N224" s="10">
        <v>11</v>
      </c>
      <c r="O224" s="11">
        <v>1440</v>
      </c>
      <c r="P224" s="85">
        <v>1.4035087719298245</v>
      </c>
      <c r="Q224" s="11">
        <v>1440</v>
      </c>
      <c r="R224" s="85">
        <v>1.4035087719298245</v>
      </c>
      <c r="S224" s="29" t="s">
        <v>2005</v>
      </c>
      <c r="T224" s="29" t="s">
        <v>2032</v>
      </c>
    </row>
    <row r="225">
      <c r="B225" s="29" t="s">
        <v>1217</v>
      </c>
      <c r="C225" s="29" t="s">
        <v>1243</v>
      </c>
      <c r="D225" s="8" t="s">
        <v>1257</v>
      </c>
      <c r="E225" s="10" t="s">
        <v>1543</v>
      </c>
      <c r="F225" s="10"/>
      <c r="G225" s="10">
        <v>2</v>
      </c>
      <c r="H225" s="10">
        <v>1</v>
      </c>
      <c r="I225" s="10">
        <v>1</v>
      </c>
      <c r="J225" s="10">
        <v>1026</v>
      </c>
      <c r="K225" s="104">
        <v>45775</v>
      </c>
      <c r="L225" s="104"/>
      <c r="M225" s="10" t="b">
        <v>1</v>
      </c>
      <c r="N225" s="10"/>
      <c r="O225" s="11">
        <v>1440</v>
      </c>
      <c r="P225" s="85">
        <v>1.4035087719298245</v>
      </c>
      <c r="Q225" s="11">
        <v>1440</v>
      </c>
      <c r="R225" s="85">
        <v>1.4035087719298245</v>
      </c>
      <c r="S225" s="29" t="s">
        <v>2001</v>
      </c>
      <c r="T225" s="29" t="s">
        <v>2032</v>
      </c>
    </row>
    <row r="226">
      <c r="B226" s="29" t="s">
        <v>1217</v>
      </c>
      <c r="C226" s="29" t="s">
        <v>1243</v>
      </c>
      <c r="D226" s="8" t="s">
        <v>1257</v>
      </c>
      <c r="E226" s="10" t="s">
        <v>1544</v>
      </c>
      <c r="F226" s="10"/>
      <c r="G226" s="10">
        <v>2</v>
      </c>
      <c r="H226" s="10">
        <v>1</v>
      </c>
      <c r="I226" s="10">
        <v>1</v>
      </c>
      <c r="J226" s="10">
        <v>1026</v>
      </c>
      <c r="K226" s="104">
        <v>45775</v>
      </c>
      <c r="L226" s="104"/>
      <c r="M226" s="10" t="b">
        <v>1</v>
      </c>
      <c r="N226" s="10"/>
      <c r="O226" s="11">
        <v>1440</v>
      </c>
      <c r="P226" s="85">
        <v>1.4035087719298245</v>
      </c>
      <c r="Q226" s="11">
        <v>1440</v>
      </c>
      <c r="R226" s="85">
        <v>1.4035087719298245</v>
      </c>
      <c r="S226" s="29" t="s">
        <v>2001</v>
      </c>
      <c r="T226" s="29" t="s">
        <v>2032</v>
      </c>
    </row>
    <row r="227">
      <c r="B227" s="29" t="s">
        <v>1217</v>
      </c>
      <c r="C227" s="29" t="s">
        <v>1243</v>
      </c>
      <c r="D227" s="8" t="s">
        <v>1257</v>
      </c>
      <c r="E227" s="10" t="s">
        <v>1545</v>
      </c>
      <c r="F227" s="10"/>
      <c r="G227" s="10">
        <v>2</v>
      </c>
      <c r="H227" s="10">
        <v>1</v>
      </c>
      <c r="I227" s="10">
        <v>1</v>
      </c>
      <c r="J227" s="10">
        <v>1026</v>
      </c>
      <c r="K227" s="104">
        <v>45336</v>
      </c>
      <c r="L227" s="104">
        <v>45499</v>
      </c>
      <c r="M227" s="10" t="b">
        <v>0</v>
      </c>
      <c r="N227" s="10">
        <v>164</v>
      </c>
      <c r="O227" s="11">
        <v>1490</v>
      </c>
      <c r="P227" s="85">
        <v>1.4522417153996101</v>
      </c>
      <c r="Q227" s="11">
        <v>1407</v>
      </c>
      <c r="R227" s="85">
        <v>1.371345029239766</v>
      </c>
      <c r="S227" s="29" t="s">
        <v>2006</v>
      </c>
      <c r="T227" s="29" t="s">
        <v>2034</v>
      </c>
    </row>
    <row r="228">
      <c r="B228" s="29" t="s">
        <v>1217</v>
      </c>
      <c r="C228" s="29" t="s">
        <v>1243</v>
      </c>
      <c r="D228" s="8" t="s">
        <v>1257</v>
      </c>
      <c r="E228" s="10" t="s">
        <v>1546</v>
      </c>
      <c r="F228" s="10">
        <v>3</v>
      </c>
      <c r="G228" s="10">
        <v>2</v>
      </c>
      <c r="H228" s="10">
        <v>1</v>
      </c>
      <c r="I228" s="10">
        <v>1</v>
      </c>
      <c r="J228" s="10">
        <v>1026</v>
      </c>
      <c r="K228" s="104">
        <v>45736</v>
      </c>
      <c r="L228" s="104">
        <v>45748</v>
      </c>
      <c r="M228" s="10" t="b">
        <v>0</v>
      </c>
      <c r="N228" s="10">
        <v>13</v>
      </c>
      <c r="O228" s="11">
        <v>1490</v>
      </c>
      <c r="P228" s="85">
        <v>1.4522417153996101</v>
      </c>
      <c r="Q228" s="11">
        <v>1490</v>
      </c>
      <c r="R228" s="85">
        <v>1.4522417153996101</v>
      </c>
      <c r="S228" s="29" t="s">
        <v>2006</v>
      </c>
      <c r="T228" s="29" t="s">
        <v>2034</v>
      </c>
    </row>
    <row r="229">
      <c r="B229" s="29" t="s">
        <v>1217</v>
      </c>
      <c r="C229" s="29" t="s">
        <v>1243</v>
      </c>
      <c r="D229" s="8" t="s">
        <v>1257</v>
      </c>
      <c r="E229" s="10" t="s">
        <v>1547</v>
      </c>
      <c r="F229" s="10">
        <v>3</v>
      </c>
      <c r="G229" s="10">
        <v>2</v>
      </c>
      <c r="H229" s="10">
        <v>1</v>
      </c>
      <c r="I229" s="10">
        <v>1</v>
      </c>
      <c r="J229" s="10">
        <v>1026</v>
      </c>
      <c r="K229" s="104">
        <v>45554</v>
      </c>
      <c r="L229" s="104">
        <v>45612</v>
      </c>
      <c r="M229" s="10" t="b">
        <v>0</v>
      </c>
      <c r="N229" s="10">
        <v>59</v>
      </c>
      <c r="O229" s="11">
        <v>1490</v>
      </c>
      <c r="P229" s="85">
        <v>1.4522417153996101</v>
      </c>
      <c r="Q229" s="11">
        <v>1490</v>
      </c>
      <c r="R229" s="85">
        <v>1.4522417153996101</v>
      </c>
      <c r="S229" s="29" t="s">
        <v>2006</v>
      </c>
      <c r="T229" s="29" t="s">
        <v>2034</v>
      </c>
    </row>
    <row r="230">
      <c r="B230" s="29" t="s">
        <v>1217</v>
      </c>
      <c r="C230" s="29" t="s">
        <v>1243</v>
      </c>
      <c r="D230" s="8" t="s">
        <v>1257</v>
      </c>
      <c r="E230" s="10" t="s">
        <v>1548</v>
      </c>
      <c r="F230" s="10"/>
      <c r="G230" s="10">
        <v>2</v>
      </c>
      <c r="H230" s="10">
        <v>1</v>
      </c>
      <c r="I230" s="10">
        <v>1</v>
      </c>
      <c r="J230" s="10">
        <v>1026</v>
      </c>
      <c r="K230" s="104">
        <v>45350</v>
      </c>
      <c r="L230" s="104">
        <v>45414</v>
      </c>
      <c r="M230" s="10" t="b">
        <v>0</v>
      </c>
      <c r="N230" s="10">
        <v>65</v>
      </c>
      <c r="O230" s="11">
        <v>1490</v>
      </c>
      <c r="P230" s="85">
        <v>1.4522417153996101</v>
      </c>
      <c r="Q230" s="11">
        <v>1490</v>
      </c>
      <c r="R230" s="85">
        <v>1.4522417153996101</v>
      </c>
      <c r="S230" s="29" t="s">
        <v>2006</v>
      </c>
      <c r="T230" s="29" t="s">
        <v>2034</v>
      </c>
    </row>
    <row r="231">
      <c r="B231" s="29" t="s">
        <v>1217</v>
      </c>
      <c r="C231" s="29" t="s">
        <v>1243</v>
      </c>
      <c r="D231" s="8" t="s">
        <v>1257</v>
      </c>
      <c r="E231" s="10" t="s">
        <v>1549</v>
      </c>
      <c r="F231" s="10"/>
      <c r="G231" s="10">
        <v>2</v>
      </c>
      <c r="H231" s="10">
        <v>1</v>
      </c>
      <c r="I231" s="10">
        <v>1</v>
      </c>
      <c r="J231" s="10">
        <v>1026</v>
      </c>
      <c r="K231" s="104">
        <v>45421</v>
      </c>
      <c r="L231" s="104">
        <v>45436</v>
      </c>
      <c r="M231" s="10" t="b">
        <v>0</v>
      </c>
      <c r="N231" s="10">
        <v>16</v>
      </c>
      <c r="O231" s="11">
        <v>1490</v>
      </c>
      <c r="P231" s="85">
        <v>1.4522417153996101</v>
      </c>
      <c r="Q231" s="11">
        <v>1490</v>
      </c>
      <c r="R231" s="85">
        <v>1.4522417153996101</v>
      </c>
      <c r="S231" s="29" t="s">
        <v>2006</v>
      </c>
      <c r="T231" s="29" t="s">
        <v>2034</v>
      </c>
    </row>
    <row r="232">
      <c r="B232" s="29" t="s">
        <v>1217</v>
      </c>
      <c r="C232" s="29" t="s">
        <v>1243</v>
      </c>
      <c r="D232" s="8" t="s">
        <v>1257</v>
      </c>
      <c r="E232" s="10" t="s">
        <v>1550</v>
      </c>
      <c r="F232" s="10"/>
      <c r="G232" s="10">
        <v>2</v>
      </c>
      <c r="H232" s="10">
        <v>1</v>
      </c>
      <c r="I232" s="10">
        <v>1</v>
      </c>
      <c r="J232" s="10">
        <v>1026</v>
      </c>
      <c r="K232" s="104">
        <v>45551</v>
      </c>
      <c r="L232" s="104">
        <v>45604</v>
      </c>
      <c r="M232" s="10" t="b">
        <v>0</v>
      </c>
      <c r="N232" s="10">
        <v>54</v>
      </c>
      <c r="O232" s="11">
        <v>1490</v>
      </c>
      <c r="P232" s="85">
        <v>1.4522417153996101</v>
      </c>
      <c r="Q232" s="11">
        <v>1490</v>
      </c>
      <c r="R232" s="85">
        <v>1.4522417153996101</v>
      </c>
      <c r="S232" s="29" t="s">
        <v>2006</v>
      </c>
      <c r="T232" s="29" t="s">
        <v>2034</v>
      </c>
    </row>
    <row r="233">
      <c r="B233" s="29" t="s">
        <v>1217</v>
      </c>
      <c r="C233" s="29" t="s">
        <v>1243</v>
      </c>
      <c r="D233" s="8" t="s">
        <v>1257</v>
      </c>
      <c r="E233" s="10" t="s">
        <v>1551</v>
      </c>
      <c r="F233" s="10"/>
      <c r="G233" s="10">
        <v>2</v>
      </c>
      <c r="H233" s="10">
        <v>1</v>
      </c>
      <c r="I233" s="10">
        <v>1</v>
      </c>
      <c r="J233" s="10">
        <v>1026</v>
      </c>
      <c r="K233" s="104">
        <v>45626</v>
      </c>
      <c r="L233" s="104">
        <v>45649</v>
      </c>
      <c r="M233" s="10" t="b">
        <v>0</v>
      </c>
      <c r="N233" s="10">
        <v>24</v>
      </c>
      <c r="O233" s="11">
        <v>1490</v>
      </c>
      <c r="P233" s="85">
        <v>1.4522417153996101</v>
      </c>
      <c r="Q233" s="11">
        <v>1490</v>
      </c>
      <c r="R233" s="85">
        <v>1.4522417153996101</v>
      </c>
      <c r="S233" s="29" t="s">
        <v>2006</v>
      </c>
      <c r="T233" s="29" t="s">
        <v>2034</v>
      </c>
    </row>
    <row r="234">
      <c r="B234" s="29" t="s">
        <v>1217</v>
      </c>
      <c r="C234" s="29" t="s">
        <v>1243</v>
      </c>
      <c r="D234" s="8" t="s">
        <v>1257</v>
      </c>
      <c r="E234" s="10" t="s">
        <v>1552</v>
      </c>
      <c r="F234" s="10"/>
      <c r="G234" s="10">
        <v>2</v>
      </c>
      <c r="H234" s="10">
        <v>1</v>
      </c>
      <c r="I234" s="10">
        <v>1</v>
      </c>
      <c r="J234" s="10">
        <v>1026</v>
      </c>
      <c r="K234" s="104">
        <v>45677</v>
      </c>
      <c r="L234" s="104">
        <v>45716</v>
      </c>
      <c r="M234" s="10" t="b">
        <v>0</v>
      </c>
      <c r="N234" s="10">
        <v>40</v>
      </c>
      <c r="O234" s="11">
        <v>1490</v>
      </c>
      <c r="P234" s="85">
        <v>1.4522417153996101</v>
      </c>
      <c r="Q234" s="11">
        <v>1490</v>
      </c>
      <c r="R234" s="85">
        <v>1.4522417153996101</v>
      </c>
      <c r="S234" s="29" t="s">
        <v>2006</v>
      </c>
      <c r="T234" s="29" t="s">
        <v>2034</v>
      </c>
    </row>
    <row r="235">
      <c r="B235" s="29" t="s">
        <v>1217</v>
      </c>
      <c r="C235" s="29" t="s">
        <v>1243</v>
      </c>
      <c r="D235" s="8" t="s">
        <v>1257</v>
      </c>
      <c r="E235" s="10" t="s">
        <v>1553</v>
      </c>
      <c r="F235" s="10">
        <v>3</v>
      </c>
      <c r="G235" s="10">
        <v>2</v>
      </c>
      <c r="H235" s="10">
        <v>1</v>
      </c>
      <c r="I235" s="10">
        <v>1</v>
      </c>
      <c r="J235" s="10">
        <v>1026</v>
      </c>
      <c r="K235" s="104">
        <v>45622</v>
      </c>
      <c r="L235" s="104">
        <v>45649</v>
      </c>
      <c r="M235" s="10" t="b">
        <v>0</v>
      </c>
      <c r="N235" s="10">
        <v>28</v>
      </c>
      <c r="O235" s="11">
        <v>1490</v>
      </c>
      <c r="P235" s="85">
        <v>1.4522417153996101</v>
      </c>
      <c r="Q235" s="11">
        <v>1490</v>
      </c>
      <c r="R235" s="85">
        <v>1.4522417153996101</v>
      </c>
      <c r="S235" s="29" t="s">
        <v>2006</v>
      </c>
      <c r="T235" s="29" t="s">
        <v>2034</v>
      </c>
    </row>
    <row r="236">
      <c r="B236" s="29" t="s">
        <v>1217</v>
      </c>
      <c r="C236" s="29" t="s">
        <v>1243</v>
      </c>
      <c r="D236" s="8" t="s">
        <v>1257</v>
      </c>
      <c r="E236" s="10" t="s">
        <v>1554</v>
      </c>
      <c r="F236" s="10"/>
      <c r="G236" s="10">
        <v>2</v>
      </c>
      <c r="H236" s="10">
        <v>1</v>
      </c>
      <c r="I236" s="10">
        <v>1</v>
      </c>
      <c r="J236" s="10">
        <v>1026</v>
      </c>
      <c r="K236" s="104">
        <v>45677</v>
      </c>
      <c r="L236" s="104">
        <v>45713</v>
      </c>
      <c r="M236" s="10" t="b">
        <v>0</v>
      </c>
      <c r="N236" s="10">
        <v>37</v>
      </c>
      <c r="O236" s="11">
        <v>1490</v>
      </c>
      <c r="P236" s="85">
        <v>1.4522417153996101</v>
      </c>
      <c r="Q236" s="11">
        <v>1490</v>
      </c>
      <c r="R236" s="85">
        <v>1.4522417153996101</v>
      </c>
      <c r="S236" s="29" t="s">
        <v>2006</v>
      </c>
      <c r="T236" s="29" t="s">
        <v>2034</v>
      </c>
    </row>
    <row r="237">
      <c r="B237" s="29" t="s">
        <v>1217</v>
      </c>
      <c r="C237" s="29" t="s">
        <v>1243</v>
      </c>
      <c r="D237" s="8" t="s">
        <v>1257</v>
      </c>
      <c r="E237" s="10" t="s">
        <v>1555</v>
      </c>
      <c r="F237" s="10">
        <v>2</v>
      </c>
      <c r="G237" s="10">
        <v>2</v>
      </c>
      <c r="H237" s="10">
        <v>1</v>
      </c>
      <c r="I237" s="10">
        <v>1</v>
      </c>
      <c r="J237" s="10">
        <v>1026</v>
      </c>
      <c r="K237" s="104">
        <v>45465</v>
      </c>
      <c r="L237" s="104">
        <v>45509</v>
      </c>
      <c r="M237" s="10" t="b">
        <v>0</v>
      </c>
      <c r="N237" s="10">
        <v>45</v>
      </c>
      <c r="O237" s="11">
        <v>1490</v>
      </c>
      <c r="P237" s="85">
        <v>1.4522417153996101</v>
      </c>
      <c r="Q237" s="11">
        <v>1490</v>
      </c>
      <c r="R237" s="85">
        <v>1.4522417153996101</v>
      </c>
      <c r="S237" s="29" t="s">
        <v>2006</v>
      </c>
      <c r="T237" s="29" t="s">
        <v>2034</v>
      </c>
    </row>
    <row r="238">
      <c r="B238" s="29" t="s">
        <v>1217</v>
      </c>
      <c r="C238" s="29" t="s">
        <v>1243</v>
      </c>
      <c r="D238" s="8" t="s">
        <v>1257</v>
      </c>
      <c r="E238" s="10" t="s">
        <v>1556</v>
      </c>
      <c r="F238" s="10">
        <v>3</v>
      </c>
      <c r="G238" s="10">
        <v>2</v>
      </c>
      <c r="H238" s="10">
        <v>1</v>
      </c>
      <c r="I238" s="10">
        <v>1</v>
      </c>
      <c r="J238" s="10">
        <v>1026</v>
      </c>
      <c r="K238" s="104">
        <v>45569</v>
      </c>
      <c r="L238" s="104">
        <v>45647</v>
      </c>
      <c r="M238" s="10" t="b">
        <v>0</v>
      </c>
      <c r="N238" s="10">
        <v>79</v>
      </c>
      <c r="O238" s="11">
        <v>1490</v>
      </c>
      <c r="P238" s="85">
        <v>1.4522417153996101</v>
      </c>
      <c r="Q238" s="11">
        <v>1490</v>
      </c>
      <c r="R238" s="85">
        <v>1.4522417153996101</v>
      </c>
      <c r="S238" s="29" t="s">
        <v>2006</v>
      </c>
      <c r="T238" s="29" t="s">
        <v>2034</v>
      </c>
    </row>
    <row r="239">
      <c r="B239" s="29" t="s">
        <v>1217</v>
      </c>
      <c r="C239" s="29" t="s">
        <v>1243</v>
      </c>
      <c r="D239" s="8" t="s">
        <v>1257</v>
      </c>
      <c r="E239" s="10" t="s">
        <v>1557</v>
      </c>
      <c r="F239" s="10"/>
      <c r="G239" s="10">
        <v>2</v>
      </c>
      <c r="H239" s="10">
        <v>1</v>
      </c>
      <c r="I239" s="10">
        <v>1</v>
      </c>
      <c r="J239" s="10">
        <v>1026</v>
      </c>
      <c r="K239" s="104">
        <v>45719</v>
      </c>
      <c r="L239" s="104">
        <v>45720</v>
      </c>
      <c r="M239" s="10" t="b">
        <v>0</v>
      </c>
      <c r="N239" s="10">
        <v>2</v>
      </c>
      <c r="O239" s="11">
        <v>1490</v>
      </c>
      <c r="P239" s="85">
        <v>1.4522417153996101</v>
      </c>
      <c r="Q239" s="11">
        <v>1490</v>
      </c>
      <c r="R239" s="85">
        <v>1.4522417153996101</v>
      </c>
      <c r="S239" s="29" t="s">
        <v>2006</v>
      </c>
      <c r="T239" s="29" t="s">
        <v>2034</v>
      </c>
    </row>
    <row r="240">
      <c r="B240" s="29" t="s">
        <v>1217</v>
      </c>
      <c r="C240" s="29" t="s">
        <v>1243</v>
      </c>
      <c r="D240" s="8" t="s">
        <v>1257</v>
      </c>
      <c r="E240" s="10" t="s">
        <v>1558</v>
      </c>
      <c r="F240" s="10"/>
      <c r="G240" s="10">
        <v>2</v>
      </c>
      <c r="H240" s="10">
        <v>1</v>
      </c>
      <c r="I240" s="10">
        <v>1</v>
      </c>
      <c r="J240" s="10">
        <v>1026</v>
      </c>
      <c r="K240" s="104">
        <v>45700</v>
      </c>
      <c r="L240" s="104">
        <v>45709</v>
      </c>
      <c r="M240" s="10" t="b">
        <v>0</v>
      </c>
      <c r="N240" s="10">
        <v>10</v>
      </c>
      <c r="O240" s="11">
        <v>1490</v>
      </c>
      <c r="P240" s="85">
        <v>1.4522417153996101</v>
      </c>
      <c r="Q240" s="11">
        <v>1490</v>
      </c>
      <c r="R240" s="85">
        <v>1.4522417153996101</v>
      </c>
      <c r="S240" s="29" t="s">
        <v>2007</v>
      </c>
      <c r="T240" s="29" t="s">
        <v>2034</v>
      </c>
    </row>
    <row r="241">
      <c r="B241" s="29" t="s">
        <v>1217</v>
      </c>
      <c r="C241" s="29" t="s">
        <v>1243</v>
      </c>
      <c r="D241" s="8" t="s">
        <v>1257</v>
      </c>
      <c r="E241" s="10" t="s">
        <v>1559</v>
      </c>
      <c r="F241" s="10"/>
      <c r="G241" s="10">
        <v>2</v>
      </c>
      <c r="H241" s="10">
        <v>1</v>
      </c>
      <c r="I241" s="10">
        <v>1</v>
      </c>
      <c r="J241" s="10">
        <v>1026</v>
      </c>
      <c r="K241" s="104">
        <v>45503</v>
      </c>
      <c r="L241" s="104">
        <v>45575</v>
      </c>
      <c r="M241" s="10" t="b">
        <v>0</v>
      </c>
      <c r="N241" s="10">
        <v>73</v>
      </c>
      <c r="O241" s="11">
        <v>1490</v>
      </c>
      <c r="P241" s="85">
        <v>1.4522417153996101</v>
      </c>
      <c r="Q241" s="11">
        <v>1490</v>
      </c>
      <c r="R241" s="85">
        <v>1.4522417153996101</v>
      </c>
      <c r="S241" s="29" t="s">
        <v>2006</v>
      </c>
      <c r="T241" s="29" t="s">
        <v>2034</v>
      </c>
    </row>
    <row r="242">
      <c r="B242" s="29" t="s">
        <v>1217</v>
      </c>
      <c r="C242" s="29" t="s">
        <v>1243</v>
      </c>
      <c r="D242" s="8" t="s">
        <v>1257</v>
      </c>
      <c r="E242" s="10" t="s">
        <v>1560</v>
      </c>
      <c r="F242" s="10"/>
      <c r="G242" s="10">
        <v>2</v>
      </c>
      <c r="H242" s="10">
        <v>1</v>
      </c>
      <c r="I242" s="10">
        <v>1</v>
      </c>
      <c r="J242" s="10">
        <v>1026</v>
      </c>
      <c r="K242" s="104">
        <v>45488</v>
      </c>
      <c r="L242" s="104">
        <v>45502</v>
      </c>
      <c r="M242" s="10" t="b">
        <v>0</v>
      </c>
      <c r="N242" s="10">
        <v>15</v>
      </c>
      <c r="O242" s="11">
        <v>1490</v>
      </c>
      <c r="P242" s="85">
        <v>1.4522417153996101</v>
      </c>
      <c r="Q242" s="11">
        <v>1282</v>
      </c>
      <c r="R242" s="85">
        <v>1.2495126705653021</v>
      </c>
      <c r="S242" s="29" t="s">
        <v>2006</v>
      </c>
      <c r="T242" s="29" t="s">
        <v>2034</v>
      </c>
    </row>
    <row r="243">
      <c r="B243" s="29" t="s">
        <v>1217</v>
      </c>
      <c r="C243" s="29" t="s">
        <v>1243</v>
      </c>
      <c r="D243" s="8" t="s">
        <v>1258</v>
      </c>
      <c r="E243" s="10" t="s">
        <v>1561</v>
      </c>
      <c r="F243" s="10"/>
      <c r="G243" s="10">
        <v>2</v>
      </c>
      <c r="H243" s="10">
        <v>1</v>
      </c>
      <c r="I243" s="10">
        <v>1</v>
      </c>
      <c r="J243" s="10">
        <v>1026</v>
      </c>
      <c r="K243" s="104">
        <v>45504</v>
      </c>
      <c r="L243" s="104">
        <v>45529</v>
      </c>
      <c r="M243" s="10" t="b">
        <v>0</v>
      </c>
      <c r="N243" s="10">
        <v>26</v>
      </c>
      <c r="O243" s="11">
        <v>1729</v>
      </c>
      <c r="P243" s="85">
        <v>1.6851851851851851</v>
      </c>
      <c r="Q243" s="11">
        <v>1585</v>
      </c>
      <c r="R243" s="85">
        <v>1.5448343079922027</v>
      </c>
      <c r="S243" s="29" t="s">
        <v>2002</v>
      </c>
      <c r="T243" s="29" t="s">
        <v>2033</v>
      </c>
    </row>
    <row r="244">
      <c r="B244" s="29" t="s">
        <v>1217</v>
      </c>
      <c r="C244" s="29" t="s">
        <v>1243</v>
      </c>
      <c r="D244" s="8" t="s">
        <v>1258</v>
      </c>
      <c r="E244" s="10" t="s">
        <v>1562</v>
      </c>
      <c r="F244" s="10"/>
      <c r="G244" s="10">
        <v>2</v>
      </c>
      <c r="H244" s="10">
        <v>1</v>
      </c>
      <c r="I244" s="10">
        <v>1</v>
      </c>
      <c r="J244" s="10">
        <v>1026</v>
      </c>
      <c r="K244" s="104">
        <v>45557</v>
      </c>
      <c r="L244" s="104">
        <v>45566</v>
      </c>
      <c r="M244" s="10" t="b">
        <v>0</v>
      </c>
      <c r="N244" s="10">
        <v>10</v>
      </c>
      <c r="O244" s="11">
        <v>1729</v>
      </c>
      <c r="P244" s="85">
        <v>1.6851851851851851</v>
      </c>
      <c r="Q244" s="11">
        <v>1729</v>
      </c>
      <c r="R244" s="85">
        <v>1.6851851851851851</v>
      </c>
      <c r="S244" s="29" t="s">
        <v>2002</v>
      </c>
      <c r="T244" s="29" t="s">
        <v>2033</v>
      </c>
    </row>
    <row r="245">
      <c r="B245" s="29" t="s">
        <v>1217</v>
      </c>
      <c r="C245" s="29" t="s">
        <v>1243</v>
      </c>
      <c r="D245" s="8" t="s">
        <v>1258</v>
      </c>
      <c r="E245" s="10" t="s">
        <v>1563</v>
      </c>
      <c r="F245" s="10">
        <v>3</v>
      </c>
      <c r="G245" s="10">
        <v>2</v>
      </c>
      <c r="H245" s="10">
        <v>1</v>
      </c>
      <c r="I245" s="10">
        <v>1</v>
      </c>
      <c r="J245" s="10">
        <v>1026</v>
      </c>
      <c r="K245" s="104">
        <v>45677</v>
      </c>
      <c r="L245" s="104">
        <v>45741</v>
      </c>
      <c r="M245" s="10" t="b">
        <v>0</v>
      </c>
      <c r="N245" s="10">
        <v>65</v>
      </c>
      <c r="O245" s="11">
        <v>1729</v>
      </c>
      <c r="P245" s="85">
        <v>1.6851851851851851</v>
      </c>
      <c r="Q245" s="11">
        <v>1606</v>
      </c>
      <c r="R245" s="85">
        <v>1.5653021442495128</v>
      </c>
      <c r="S245" s="29" t="s">
        <v>2002</v>
      </c>
      <c r="T245" s="29" t="s">
        <v>2033</v>
      </c>
    </row>
    <row r="246">
      <c r="B246" s="29" t="s">
        <v>1217</v>
      </c>
      <c r="C246" s="29" t="s">
        <v>1243</v>
      </c>
      <c r="D246" s="8" t="s">
        <v>1258</v>
      </c>
      <c r="E246" s="10" t="s">
        <v>1564</v>
      </c>
      <c r="F246" s="10"/>
      <c r="G246" s="10">
        <v>2</v>
      </c>
      <c r="H246" s="10">
        <v>1</v>
      </c>
      <c r="I246" s="10">
        <v>1</v>
      </c>
      <c r="J246" s="10">
        <v>1026</v>
      </c>
      <c r="K246" s="104">
        <v>45433</v>
      </c>
      <c r="L246" s="104">
        <v>45506</v>
      </c>
      <c r="M246" s="10" t="b">
        <v>0</v>
      </c>
      <c r="N246" s="10">
        <v>74</v>
      </c>
      <c r="O246" s="11">
        <v>1729</v>
      </c>
      <c r="P246" s="85">
        <v>1.6851851851851851</v>
      </c>
      <c r="Q246" s="11">
        <v>1502</v>
      </c>
      <c r="R246" s="85">
        <v>1.4639376218323588</v>
      </c>
      <c r="S246" s="29" t="s">
        <v>2002</v>
      </c>
      <c r="T246" s="29" t="s">
        <v>2033</v>
      </c>
    </row>
    <row r="247">
      <c r="B247" s="29" t="s">
        <v>1217</v>
      </c>
      <c r="C247" s="29" t="s">
        <v>1243</v>
      </c>
      <c r="D247" s="8" t="s">
        <v>1258</v>
      </c>
      <c r="E247" s="10" t="s">
        <v>1565</v>
      </c>
      <c r="F247" s="10"/>
      <c r="G247" s="10">
        <v>2</v>
      </c>
      <c r="H247" s="10">
        <v>1</v>
      </c>
      <c r="I247" s="10">
        <v>1</v>
      </c>
      <c r="J247" s="10">
        <v>1026</v>
      </c>
      <c r="K247" s="104">
        <v>45484</v>
      </c>
      <c r="L247" s="104">
        <v>45504</v>
      </c>
      <c r="M247" s="10" t="b">
        <v>0</v>
      </c>
      <c r="N247" s="10">
        <v>21</v>
      </c>
      <c r="O247" s="11">
        <v>1729</v>
      </c>
      <c r="P247" s="85">
        <v>1.6851851851851851</v>
      </c>
      <c r="Q247" s="11">
        <v>1502</v>
      </c>
      <c r="R247" s="85">
        <v>1.4639376218323588</v>
      </c>
      <c r="S247" s="29" t="s">
        <v>2002</v>
      </c>
      <c r="T247" s="29" t="s">
        <v>2033</v>
      </c>
    </row>
    <row r="248">
      <c r="B248" s="29" t="s">
        <v>1217</v>
      </c>
      <c r="C248" s="29" t="s">
        <v>1243</v>
      </c>
      <c r="D248" s="8" t="s">
        <v>1258</v>
      </c>
      <c r="E248" s="10" t="s">
        <v>1566</v>
      </c>
      <c r="F248" s="10"/>
      <c r="G248" s="10">
        <v>2</v>
      </c>
      <c r="H248" s="10">
        <v>1</v>
      </c>
      <c r="I248" s="10">
        <v>1</v>
      </c>
      <c r="J248" s="10">
        <v>1026</v>
      </c>
      <c r="K248" s="104">
        <v>45141</v>
      </c>
      <c r="L248" s="104">
        <v>45577</v>
      </c>
      <c r="M248" s="10" t="b">
        <v>0</v>
      </c>
      <c r="N248" s="10">
        <v>437</v>
      </c>
      <c r="O248" s="11">
        <v>1729</v>
      </c>
      <c r="P248" s="85">
        <v>1.6851851851851851</v>
      </c>
      <c r="Q248" s="11">
        <v>1729</v>
      </c>
      <c r="R248" s="85">
        <v>1.6851851851851851</v>
      </c>
      <c r="S248" s="29" t="s">
        <v>2002</v>
      </c>
      <c r="T248" s="29" t="s">
        <v>2033</v>
      </c>
    </row>
    <row r="249">
      <c r="B249" s="29" t="s">
        <v>1217</v>
      </c>
      <c r="C249" s="29" t="s">
        <v>1243</v>
      </c>
      <c r="D249" s="8" t="s">
        <v>1258</v>
      </c>
      <c r="E249" s="10" t="s">
        <v>1567</v>
      </c>
      <c r="F249" s="10"/>
      <c r="G249" s="10">
        <v>2</v>
      </c>
      <c r="H249" s="10">
        <v>1</v>
      </c>
      <c r="I249" s="10">
        <v>1</v>
      </c>
      <c r="J249" s="10">
        <v>1026</v>
      </c>
      <c r="K249" s="104">
        <v>45664</v>
      </c>
      <c r="L249" s="104">
        <v>45709</v>
      </c>
      <c r="M249" s="10" t="b">
        <v>0</v>
      </c>
      <c r="N249" s="10">
        <v>46</v>
      </c>
      <c r="O249" s="11">
        <v>1729</v>
      </c>
      <c r="P249" s="85">
        <v>1.6851851851851851</v>
      </c>
      <c r="Q249" s="11">
        <v>1729</v>
      </c>
      <c r="R249" s="85">
        <v>1.6851851851851851</v>
      </c>
      <c r="S249" s="29" t="s">
        <v>2002</v>
      </c>
      <c r="T249" s="29" t="s">
        <v>2033</v>
      </c>
    </row>
    <row r="250">
      <c r="B250" s="29" t="s">
        <v>1217</v>
      </c>
      <c r="C250" s="29" t="s">
        <v>1243</v>
      </c>
      <c r="D250" s="8" t="s">
        <v>1258</v>
      </c>
      <c r="E250" s="10" t="s">
        <v>1568</v>
      </c>
      <c r="F250" s="10"/>
      <c r="G250" s="10">
        <v>2</v>
      </c>
      <c r="H250" s="10">
        <v>1</v>
      </c>
      <c r="I250" s="10">
        <v>1</v>
      </c>
      <c r="J250" s="10">
        <v>1026</v>
      </c>
      <c r="K250" s="104">
        <v>45721</v>
      </c>
      <c r="L250" s="104">
        <v>45735</v>
      </c>
      <c r="M250" s="10" t="b">
        <v>0</v>
      </c>
      <c r="N250" s="10">
        <v>15</v>
      </c>
      <c r="O250" s="11">
        <v>1729</v>
      </c>
      <c r="P250" s="85">
        <v>1.6851851851851851</v>
      </c>
      <c r="Q250" s="11">
        <v>1729</v>
      </c>
      <c r="R250" s="85">
        <v>1.6851851851851851</v>
      </c>
      <c r="S250" s="29" t="s">
        <v>2003</v>
      </c>
      <c r="T250" s="29" t="s">
        <v>2033</v>
      </c>
    </row>
    <row r="251">
      <c r="B251" s="29" t="s">
        <v>1217</v>
      </c>
      <c r="C251" s="29" t="s">
        <v>1243</v>
      </c>
      <c r="D251" s="8" t="s">
        <v>1258</v>
      </c>
      <c r="E251" s="10" t="s">
        <v>1569</v>
      </c>
      <c r="F251" s="10">
        <v>3</v>
      </c>
      <c r="G251" s="10">
        <v>2</v>
      </c>
      <c r="H251" s="10">
        <v>1</v>
      </c>
      <c r="I251" s="10">
        <v>1</v>
      </c>
      <c r="J251" s="10">
        <v>1026</v>
      </c>
      <c r="K251" s="104">
        <v>45143</v>
      </c>
      <c r="L251" s="104">
        <v>45429</v>
      </c>
      <c r="M251" s="10" t="b">
        <v>0</v>
      </c>
      <c r="N251" s="10">
        <v>287</v>
      </c>
      <c r="O251" s="11">
        <v>1729</v>
      </c>
      <c r="P251" s="85">
        <v>1.6851851851851851</v>
      </c>
      <c r="Q251" s="11">
        <v>1687</v>
      </c>
      <c r="R251" s="85">
        <v>1.6442495126705654</v>
      </c>
      <c r="S251" s="29" t="s">
        <v>2002</v>
      </c>
      <c r="T251" s="29" t="s">
        <v>2033</v>
      </c>
    </row>
    <row r="252">
      <c r="B252" s="29" t="s">
        <v>1217</v>
      </c>
      <c r="C252" s="29" t="s">
        <v>1243</v>
      </c>
      <c r="D252" s="8" t="s">
        <v>1258</v>
      </c>
      <c r="E252" s="10" t="s">
        <v>1570</v>
      </c>
      <c r="F252" s="10"/>
      <c r="G252" s="10">
        <v>2</v>
      </c>
      <c r="H252" s="10">
        <v>1</v>
      </c>
      <c r="I252" s="10">
        <v>1</v>
      </c>
      <c r="J252" s="10">
        <v>1026</v>
      </c>
      <c r="K252" s="104">
        <v>45315</v>
      </c>
      <c r="L252" s="104">
        <v>45428</v>
      </c>
      <c r="M252" s="10" t="b">
        <v>0</v>
      </c>
      <c r="N252" s="10">
        <v>114</v>
      </c>
      <c r="O252" s="11">
        <v>1729</v>
      </c>
      <c r="P252" s="85">
        <v>1.6851851851851851</v>
      </c>
      <c r="Q252" s="11">
        <v>1687</v>
      </c>
      <c r="R252" s="85">
        <v>1.6442495126705654</v>
      </c>
      <c r="S252" s="29" t="s">
        <v>2002</v>
      </c>
      <c r="T252" s="29" t="s">
        <v>2033</v>
      </c>
    </row>
    <row r="253">
      <c r="B253" s="29" t="s">
        <v>1217</v>
      </c>
      <c r="C253" s="29" t="s">
        <v>1243</v>
      </c>
      <c r="D253" s="8" t="s">
        <v>1258</v>
      </c>
      <c r="E253" s="10" t="s">
        <v>1571</v>
      </c>
      <c r="F253" s="10"/>
      <c r="G253" s="10">
        <v>2</v>
      </c>
      <c r="H253" s="10">
        <v>1</v>
      </c>
      <c r="I253" s="10">
        <v>1</v>
      </c>
      <c r="J253" s="10">
        <v>1026</v>
      </c>
      <c r="K253" s="104">
        <v>45768</v>
      </c>
      <c r="L253" s="104">
        <v>45780</v>
      </c>
      <c r="M253" s="10" t="b">
        <v>0</v>
      </c>
      <c r="N253" s="10">
        <v>13</v>
      </c>
      <c r="O253" s="11">
        <v>1729</v>
      </c>
      <c r="P253" s="85">
        <v>1.6851851851851851</v>
      </c>
      <c r="Q253" s="11">
        <v>1729</v>
      </c>
      <c r="R253" s="85">
        <v>1.6851851851851851</v>
      </c>
      <c r="S253" s="29" t="s">
        <v>2002</v>
      </c>
      <c r="T253" s="29" t="s">
        <v>2033</v>
      </c>
    </row>
    <row r="254">
      <c r="B254" s="29" t="s">
        <v>1217</v>
      </c>
      <c r="C254" s="29" t="s">
        <v>1243</v>
      </c>
      <c r="D254" s="8" t="s">
        <v>1258</v>
      </c>
      <c r="E254" s="10" t="s">
        <v>1572</v>
      </c>
      <c r="F254" s="10">
        <v>3</v>
      </c>
      <c r="G254" s="10">
        <v>2</v>
      </c>
      <c r="H254" s="10">
        <v>1</v>
      </c>
      <c r="I254" s="10">
        <v>1</v>
      </c>
      <c r="J254" s="10">
        <v>1026</v>
      </c>
      <c r="K254" s="104">
        <v>45232</v>
      </c>
      <c r="L254" s="104">
        <v>45396</v>
      </c>
      <c r="M254" s="10" t="b">
        <v>0</v>
      </c>
      <c r="N254" s="10">
        <v>165</v>
      </c>
      <c r="O254" s="11">
        <v>1729</v>
      </c>
      <c r="P254" s="85">
        <v>1.6851851851851851</v>
      </c>
      <c r="Q254" s="11">
        <v>1585</v>
      </c>
      <c r="R254" s="85">
        <v>1.5448343079922027</v>
      </c>
      <c r="S254" s="29" t="s">
        <v>2002</v>
      </c>
      <c r="T254" s="29" t="s">
        <v>2033</v>
      </c>
    </row>
    <row r="255">
      <c r="B255" s="29" t="s">
        <v>1217</v>
      </c>
      <c r="C255" s="29" t="s">
        <v>1243</v>
      </c>
      <c r="D255" s="8" t="s">
        <v>1258</v>
      </c>
      <c r="E255" s="10" t="s">
        <v>1573</v>
      </c>
      <c r="F255" s="10"/>
      <c r="G255" s="10">
        <v>2</v>
      </c>
      <c r="H255" s="10">
        <v>1</v>
      </c>
      <c r="I255" s="10">
        <v>1</v>
      </c>
      <c r="J255" s="10">
        <v>1026</v>
      </c>
      <c r="K255" s="104">
        <v>45556</v>
      </c>
      <c r="L255" s="104">
        <v>45704</v>
      </c>
      <c r="M255" s="10" t="b">
        <v>0</v>
      </c>
      <c r="N255" s="10">
        <v>149</v>
      </c>
      <c r="O255" s="11">
        <v>1729</v>
      </c>
      <c r="P255" s="85">
        <v>1.6851851851851851</v>
      </c>
      <c r="Q255" s="11">
        <v>1729</v>
      </c>
      <c r="R255" s="85">
        <v>1.6851851851851851</v>
      </c>
      <c r="S255" s="29" t="s">
        <v>2002</v>
      </c>
      <c r="T255" s="29" t="s">
        <v>2033</v>
      </c>
    </row>
    <row r="256">
      <c r="B256" s="29" t="s">
        <v>1217</v>
      </c>
      <c r="C256" s="29" t="s">
        <v>1243</v>
      </c>
      <c r="D256" s="8" t="s">
        <v>1258</v>
      </c>
      <c r="E256" s="10" t="s">
        <v>1574</v>
      </c>
      <c r="F256" s="10">
        <v>3</v>
      </c>
      <c r="G256" s="10">
        <v>2</v>
      </c>
      <c r="H256" s="10">
        <v>1</v>
      </c>
      <c r="I256" s="10">
        <v>1</v>
      </c>
      <c r="J256" s="10">
        <v>1026</v>
      </c>
      <c r="K256" s="104">
        <v>45247</v>
      </c>
      <c r="L256" s="104">
        <v>45259</v>
      </c>
      <c r="M256" s="10" t="b">
        <v>0</v>
      </c>
      <c r="N256" s="10">
        <v>13</v>
      </c>
      <c r="O256" s="11">
        <v>1729</v>
      </c>
      <c r="P256" s="85">
        <v>1.6851851851851851</v>
      </c>
      <c r="Q256" s="11">
        <v>1229</v>
      </c>
      <c r="R256" s="85">
        <v>1.1978557504873295</v>
      </c>
      <c r="S256" s="29" t="s">
        <v>1998</v>
      </c>
      <c r="T256" s="29" t="s">
        <v>2033</v>
      </c>
    </row>
    <row r="257">
      <c r="B257" s="29" t="s">
        <v>1217</v>
      </c>
      <c r="C257" s="29" t="s">
        <v>1243</v>
      </c>
      <c r="D257" s="8" t="s">
        <v>1258</v>
      </c>
      <c r="E257" s="10" t="s">
        <v>1575</v>
      </c>
      <c r="F257" s="10"/>
      <c r="G257" s="10">
        <v>2</v>
      </c>
      <c r="H257" s="10">
        <v>1</v>
      </c>
      <c r="I257" s="10">
        <v>1</v>
      </c>
      <c r="J257" s="10">
        <v>1026</v>
      </c>
      <c r="K257" s="104">
        <v>45604</v>
      </c>
      <c r="L257" s="104">
        <v>45657</v>
      </c>
      <c r="M257" s="10" t="b">
        <v>0</v>
      </c>
      <c r="N257" s="10">
        <v>54</v>
      </c>
      <c r="O257" s="11">
        <v>1729</v>
      </c>
      <c r="P257" s="85">
        <v>1.6851851851851851</v>
      </c>
      <c r="Q257" s="11">
        <v>1729</v>
      </c>
      <c r="R257" s="85">
        <v>1.6851851851851851</v>
      </c>
      <c r="S257" s="29" t="s">
        <v>2002</v>
      </c>
      <c r="T257" s="29" t="s">
        <v>2033</v>
      </c>
    </row>
    <row r="258">
      <c r="B258" s="29" t="s">
        <v>1217</v>
      </c>
      <c r="C258" s="29" t="s">
        <v>1243</v>
      </c>
      <c r="D258" s="8" t="s">
        <v>1258</v>
      </c>
      <c r="E258" s="10" t="s">
        <v>1576</v>
      </c>
      <c r="F258" s="10"/>
      <c r="G258" s="10">
        <v>2</v>
      </c>
      <c r="H258" s="10">
        <v>1</v>
      </c>
      <c r="I258" s="10">
        <v>1</v>
      </c>
      <c r="J258" s="10">
        <v>1026</v>
      </c>
      <c r="K258" s="104">
        <v>45553</v>
      </c>
      <c r="L258" s="104">
        <v>45665</v>
      </c>
      <c r="M258" s="10" t="b">
        <v>0</v>
      </c>
      <c r="N258" s="10">
        <v>113</v>
      </c>
      <c r="O258" s="11">
        <v>1729</v>
      </c>
      <c r="P258" s="85">
        <v>1.6851851851851851</v>
      </c>
      <c r="Q258" s="11">
        <v>1729</v>
      </c>
      <c r="R258" s="85">
        <v>1.6851851851851851</v>
      </c>
      <c r="S258" s="29" t="s">
        <v>2002</v>
      </c>
      <c r="T258" s="29" t="s">
        <v>2033</v>
      </c>
    </row>
    <row r="259">
      <c r="B259" s="29" t="s">
        <v>1217</v>
      </c>
      <c r="C259" s="29" t="s">
        <v>1243</v>
      </c>
      <c r="D259" s="8" t="s">
        <v>1258</v>
      </c>
      <c r="E259" s="10" t="s">
        <v>1577</v>
      </c>
      <c r="F259" s="10"/>
      <c r="G259" s="10">
        <v>2</v>
      </c>
      <c r="H259" s="10">
        <v>1</v>
      </c>
      <c r="I259" s="10">
        <v>1</v>
      </c>
      <c r="J259" s="10">
        <v>1026</v>
      </c>
      <c r="K259" s="104">
        <v>45665</v>
      </c>
      <c r="L259" s="104">
        <v>45728</v>
      </c>
      <c r="M259" s="10" t="b">
        <v>0</v>
      </c>
      <c r="N259" s="10">
        <v>64</v>
      </c>
      <c r="O259" s="11">
        <v>1729</v>
      </c>
      <c r="P259" s="85">
        <v>1.6851851851851851</v>
      </c>
      <c r="Q259" s="11">
        <v>1606</v>
      </c>
      <c r="R259" s="85">
        <v>1.5653021442495128</v>
      </c>
      <c r="S259" s="29" t="s">
        <v>2002</v>
      </c>
      <c r="T259" s="29" t="s">
        <v>2033</v>
      </c>
    </row>
    <row r="260">
      <c r="B260" s="29" t="s">
        <v>1217</v>
      </c>
      <c r="C260" s="29" t="s">
        <v>1243</v>
      </c>
      <c r="D260" s="8" t="s">
        <v>1258</v>
      </c>
      <c r="E260" s="10" t="s">
        <v>1578</v>
      </c>
      <c r="F260" s="10"/>
      <c r="G260" s="10">
        <v>2</v>
      </c>
      <c r="H260" s="10">
        <v>1</v>
      </c>
      <c r="I260" s="10">
        <v>1</v>
      </c>
      <c r="J260" s="10">
        <v>1026</v>
      </c>
      <c r="K260" s="104">
        <v>45142</v>
      </c>
      <c r="L260" s="104">
        <v>45143</v>
      </c>
      <c r="M260" s="10" t="b">
        <v>0</v>
      </c>
      <c r="N260" s="10">
        <v>2</v>
      </c>
      <c r="O260" s="11">
        <v>1729</v>
      </c>
      <c r="P260" s="85">
        <v>1.6851851851851851</v>
      </c>
      <c r="Q260" s="11">
        <v>1729</v>
      </c>
      <c r="R260" s="85">
        <v>1.6851851851851851</v>
      </c>
      <c r="S260" s="29" t="s">
        <v>1998</v>
      </c>
      <c r="T260" s="29" t="s">
        <v>2033</v>
      </c>
    </row>
    <row r="261">
      <c r="B261" s="29" t="s">
        <v>1217</v>
      </c>
      <c r="C261" s="29" t="s">
        <v>1243</v>
      </c>
      <c r="D261" s="8" t="s">
        <v>1258</v>
      </c>
      <c r="E261" s="10" t="s">
        <v>1579</v>
      </c>
      <c r="F261" s="10"/>
      <c r="G261" s="10">
        <v>2</v>
      </c>
      <c r="H261" s="10">
        <v>1</v>
      </c>
      <c r="I261" s="10">
        <v>1</v>
      </c>
      <c r="J261" s="10">
        <v>1026</v>
      </c>
      <c r="K261" s="104">
        <v>45666</v>
      </c>
      <c r="L261" s="104">
        <v>45699</v>
      </c>
      <c r="M261" s="10" t="b">
        <v>0</v>
      </c>
      <c r="N261" s="10">
        <v>34</v>
      </c>
      <c r="O261" s="11">
        <v>1729</v>
      </c>
      <c r="P261" s="85">
        <v>1.6851851851851851</v>
      </c>
      <c r="Q261" s="11">
        <v>1729</v>
      </c>
      <c r="R261" s="85">
        <v>1.6851851851851851</v>
      </c>
      <c r="S261" s="29" t="s">
        <v>2003</v>
      </c>
      <c r="T261" s="29" t="s">
        <v>2033</v>
      </c>
    </row>
    <row r="262">
      <c r="B262" s="29" t="s">
        <v>1217</v>
      </c>
      <c r="C262" s="29" t="s">
        <v>1243</v>
      </c>
      <c r="D262" s="8" t="s">
        <v>1258</v>
      </c>
      <c r="E262" s="10" t="s">
        <v>1580</v>
      </c>
      <c r="F262" s="10"/>
      <c r="G262" s="10">
        <v>2</v>
      </c>
      <c r="H262" s="10">
        <v>1</v>
      </c>
      <c r="I262" s="10">
        <v>1</v>
      </c>
      <c r="J262" s="10">
        <v>1026</v>
      </c>
      <c r="K262" s="104">
        <v>45569</v>
      </c>
      <c r="L262" s="104">
        <v>45701</v>
      </c>
      <c r="M262" s="10" t="b">
        <v>0</v>
      </c>
      <c r="N262" s="10">
        <v>133</v>
      </c>
      <c r="O262" s="11">
        <v>1729</v>
      </c>
      <c r="P262" s="85">
        <v>1.6851851851851851</v>
      </c>
      <c r="Q262" s="11">
        <v>1729</v>
      </c>
      <c r="R262" s="85">
        <v>1.6851851851851851</v>
      </c>
      <c r="S262" s="29" t="s">
        <v>2002</v>
      </c>
      <c r="T262" s="29" t="s">
        <v>2033</v>
      </c>
    </row>
    <row r="263">
      <c r="B263" s="29" t="s">
        <v>1217</v>
      </c>
      <c r="C263" s="29" t="s">
        <v>1243</v>
      </c>
      <c r="D263" s="8" t="s">
        <v>1258</v>
      </c>
      <c r="E263" s="10" t="s">
        <v>1581</v>
      </c>
      <c r="F263" s="10"/>
      <c r="G263" s="10">
        <v>2</v>
      </c>
      <c r="H263" s="10">
        <v>1</v>
      </c>
      <c r="I263" s="10">
        <v>1</v>
      </c>
      <c r="J263" s="10">
        <v>1026</v>
      </c>
      <c r="K263" s="104">
        <v>45495</v>
      </c>
      <c r="L263" s="104">
        <v>45726</v>
      </c>
      <c r="M263" s="10" t="b">
        <v>0</v>
      </c>
      <c r="N263" s="10">
        <v>232</v>
      </c>
      <c r="O263" s="11">
        <v>1729</v>
      </c>
      <c r="P263" s="85">
        <v>1.6851851851851851</v>
      </c>
      <c r="Q263" s="11">
        <v>1606</v>
      </c>
      <c r="R263" s="85">
        <v>1.5653021442495128</v>
      </c>
      <c r="S263" s="29" t="s">
        <v>2002</v>
      </c>
      <c r="T263" s="29" t="s">
        <v>2033</v>
      </c>
    </row>
    <row r="264">
      <c r="B264" s="29" t="s">
        <v>1217</v>
      </c>
      <c r="C264" s="29" t="s">
        <v>1243</v>
      </c>
      <c r="D264" s="8" t="s">
        <v>1258</v>
      </c>
      <c r="E264" s="10" t="s">
        <v>1582</v>
      </c>
      <c r="F264" s="10"/>
      <c r="G264" s="10">
        <v>2</v>
      </c>
      <c r="H264" s="10">
        <v>1</v>
      </c>
      <c r="I264" s="10">
        <v>1</v>
      </c>
      <c r="J264" s="10">
        <v>1026</v>
      </c>
      <c r="K264" s="104">
        <v>45693</v>
      </c>
      <c r="L264" s="104">
        <v>45714</v>
      </c>
      <c r="M264" s="10" t="b">
        <v>0</v>
      </c>
      <c r="N264" s="10">
        <v>22</v>
      </c>
      <c r="O264" s="11">
        <v>1729</v>
      </c>
      <c r="P264" s="85">
        <v>1.6851851851851851</v>
      </c>
      <c r="Q264" s="11">
        <v>1729</v>
      </c>
      <c r="R264" s="85">
        <v>1.6851851851851851</v>
      </c>
      <c r="S264" s="29" t="s">
        <v>2002</v>
      </c>
      <c r="T264" s="29" t="s">
        <v>2033</v>
      </c>
    </row>
    <row r="265">
      <c r="B265" s="29" t="s">
        <v>1217</v>
      </c>
      <c r="C265" s="29" t="s">
        <v>1243</v>
      </c>
      <c r="D265" s="8" t="s">
        <v>1258</v>
      </c>
      <c r="E265" s="10" t="s">
        <v>1583</v>
      </c>
      <c r="F265" s="10"/>
      <c r="G265" s="10">
        <v>2</v>
      </c>
      <c r="H265" s="10">
        <v>1</v>
      </c>
      <c r="I265" s="10">
        <v>1</v>
      </c>
      <c r="J265" s="10">
        <v>1026</v>
      </c>
      <c r="K265" s="104">
        <v>45139</v>
      </c>
      <c r="L265" s="104">
        <v>45541</v>
      </c>
      <c r="M265" s="10" t="b">
        <v>0</v>
      </c>
      <c r="N265" s="10">
        <v>403</v>
      </c>
      <c r="O265" s="11">
        <v>1729</v>
      </c>
      <c r="P265" s="85">
        <v>1.6851851851851851</v>
      </c>
      <c r="Q265" s="11">
        <v>1729</v>
      </c>
      <c r="R265" s="85">
        <v>1.6851851851851851</v>
      </c>
      <c r="S265" s="29" t="s">
        <v>2002</v>
      </c>
      <c r="T265" s="29" t="s">
        <v>2033</v>
      </c>
    </row>
    <row r="266">
      <c r="B266" s="29" t="s">
        <v>1217</v>
      </c>
      <c r="C266" s="29" t="s">
        <v>1243</v>
      </c>
      <c r="D266" s="8" t="s">
        <v>1258</v>
      </c>
      <c r="E266" s="10" t="s">
        <v>1584</v>
      </c>
      <c r="F266" s="10"/>
      <c r="G266" s="10">
        <v>2</v>
      </c>
      <c r="H266" s="10">
        <v>1</v>
      </c>
      <c r="I266" s="10">
        <v>1</v>
      </c>
      <c r="J266" s="10">
        <v>1026</v>
      </c>
      <c r="K266" s="104">
        <v>45515</v>
      </c>
      <c r="L266" s="104">
        <v>45544</v>
      </c>
      <c r="M266" s="10" t="b">
        <v>0</v>
      </c>
      <c r="N266" s="10">
        <v>30</v>
      </c>
      <c r="O266" s="11">
        <v>1729</v>
      </c>
      <c r="P266" s="85">
        <v>1.6851851851851851</v>
      </c>
      <c r="Q266" s="11">
        <v>1399</v>
      </c>
      <c r="R266" s="85">
        <v>1.3635477582846003</v>
      </c>
      <c r="S266" s="29" t="s">
        <v>2002</v>
      </c>
      <c r="T266" s="29" t="s">
        <v>2033</v>
      </c>
    </row>
    <row r="267">
      <c r="B267" s="29" t="s">
        <v>1217</v>
      </c>
      <c r="C267" s="29" t="s">
        <v>1243</v>
      </c>
      <c r="D267" s="8" t="s">
        <v>1258</v>
      </c>
      <c r="E267" s="10" t="s">
        <v>1585</v>
      </c>
      <c r="F267" s="10">
        <v>3</v>
      </c>
      <c r="G267" s="10">
        <v>2</v>
      </c>
      <c r="H267" s="10">
        <v>1</v>
      </c>
      <c r="I267" s="10">
        <v>1</v>
      </c>
      <c r="J267" s="10">
        <v>1026</v>
      </c>
      <c r="K267" s="104">
        <v>45511</v>
      </c>
      <c r="L267" s="104">
        <v>45545</v>
      </c>
      <c r="M267" s="10" t="b">
        <v>0</v>
      </c>
      <c r="N267" s="10">
        <v>35</v>
      </c>
      <c r="O267" s="11">
        <v>1729</v>
      </c>
      <c r="P267" s="85">
        <v>1.6851851851851851</v>
      </c>
      <c r="Q267" s="11">
        <v>1399</v>
      </c>
      <c r="R267" s="85">
        <v>1.3635477582846003</v>
      </c>
      <c r="S267" s="29" t="s">
        <v>2002</v>
      </c>
      <c r="T267" s="29" t="s">
        <v>2033</v>
      </c>
    </row>
    <row r="268">
      <c r="B268" s="29" t="s">
        <v>1217</v>
      </c>
      <c r="C268" s="29" t="s">
        <v>1243</v>
      </c>
      <c r="D268" s="8" t="s">
        <v>1259</v>
      </c>
      <c r="E268" s="10" t="s">
        <v>1586</v>
      </c>
      <c r="F268" s="10"/>
      <c r="G268" s="10">
        <v>3</v>
      </c>
      <c r="H268" s="10">
        <v>1</v>
      </c>
      <c r="I268" s="10">
        <v>1</v>
      </c>
      <c r="J268" s="10">
        <v>1062</v>
      </c>
      <c r="K268" s="104">
        <v>45281</v>
      </c>
      <c r="L268" s="104">
        <v>45282</v>
      </c>
      <c r="M268" s="10" t="b">
        <v>0</v>
      </c>
      <c r="N268" s="10">
        <v>2</v>
      </c>
      <c r="O268" s="11">
        <v>1455</v>
      </c>
      <c r="P268" s="85">
        <v>1.3700564971751412</v>
      </c>
      <c r="Q268" s="11">
        <v>1455</v>
      </c>
      <c r="R268" s="85">
        <v>1.3700564971751412</v>
      </c>
      <c r="S268" s="29" t="s">
        <v>1998</v>
      </c>
      <c r="T268" s="29" t="s">
        <v>2030</v>
      </c>
    </row>
    <row r="269">
      <c r="B269" s="29" t="s">
        <v>1217</v>
      </c>
      <c r="C269" s="29" t="s">
        <v>1243</v>
      </c>
      <c r="D269" s="8" t="s">
        <v>1259</v>
      </c>
      <c r="E269" s="10" t="s">
        <v>1587</v>
      </c>
      <c r="F269" s="10"/>
      <c r="G269" s="10">
        <v>3</v>
      </c>
      <c r="H269" s="10">
        <v>1</v>
      </c>
      <c r="I269" s="10">
        <v>1</v>
      </c>
      <c r="J269" s="10">
        <v>1062</v>
      </c>
      <c r="K269" s="104">
        <v>45325</v>
      </c>
      <c r="L269" s="104">
        <v>45338</v>
      </c>
      <c r="M269" s="10" t="b">
        <v>0</v>
      </c>
      <c r="N269" s="10">
        <v>14</v>
      </c>
      <c r="O269" s="11">
        <v>1455</v>
      </c>
      <c r="P269" s="85">
        <v>1.3700564971751412</v>
      </c>
      <c r="Q269" s="11">
        <v>1455</v>
      </c>
      <c r="R269" s="85">
        <v>1.3700564971751412</v>
      </c>
      <c r="S269" s="29" t="s">
        <v>1999</v>
      </c>
      <c r="T269" s="29" t="s">
        <v>2030</v>
      </c>
    </row>
    <row r="270">
      <c r="B270" s="29" t="s">
        <v>1217</v>
      </c>
      <c r="C270" s="29" t="s">
        <v>1243</v>
      </c>
      <c r="D270" s="8" t="s">
        <v>1259</v>
      </c>
      <c r="E270" s="10" t="s">
        <v>1588</v>
      </c>
      <c r="F270" s="10"/>
      <c r="G270" s="10">
        <v>3</v>
      </c>
      <c r="H270" s="10">
        <v>1</v>
      </c>
      <c r="I270" s="10">
        <v>1</v>
      </c>
      <c r="J270" s="10">
        <v>1062</v>
      </c>
      <c r="K270" s="104">
        <v>45318</v>
      </c>
      <c r="L270" s="104">
        <v>45356</v>
      </c>
      <c r="M270" s="10" t="b">
        <v>0</v>
      </c>
      <c r="N270" s="10">
        <v>39</v>
      </c>
      <c r="O270" s="11">
        <v>1455</v>
      </c>
      <c r="P270" s="85">
        <v>1.3700564971751412</v>
      </c>
      <c r="Q270" s="11">
        <v>1455</v>
      </c>
      <c r="R270" s="85">
        <v>1.3700564971751412</v>
      </c>
      <c r="S270" s="29" t="s">
        <v>2000</v>
      </c>
      <c r="T270" s="29" t="s">
        <v>2030</v>
      </c>
    </row>
    <row r="271">
      <c r="B271" s="29" t="s">
        <v>1217</v>
      </c>
      <c r="C271" s="29" t="s">
        <v>1243</v>
      </c>
      <c r="D271" s="8" t="s">
        <v>1259</v>
      </c>
      <c r="E271" s="10" t="s">
        <v>1589</v>
      </c>
      <c r="F271" s="10"/>
      <c r="G271" s="10">
        <v>3</v>
      </c>
      <c r="H271" s="10">
        <v>1</v>
      </c>
      <c r="I271" s="10">
        <v>1</v>
      </c>
      <c r="J271" s="10">
        <v>1062</v>
      </c>
      <c r="K271" s="104">
        <v>45298</v>
      </c>
      <c r="L271" s="104">
        <v>45318</v>
      </c>
      <c r="M271" s="10" t="b">
        <v>0</v>
      </c>
      <c r="N271" s="10">
        <v>21</v>
      </c>
      <c r="O271" s="11">
        <v>1455</v>
      </c>
      <c r="P271" s="85">
        <v>1.3700564971751412</v>
      </c>
      <c r="Q271" s="11">
        <v>1334</v>
      </c>
      <c r="R271" s="85">
        <v>1.256120527306968</v>
      </c>
      <c r="S271" s="29" t="s">
        <v>1998</v>
      </c>
      <c r="T271" s="29" t="s">
        <v>2030</v>
      </c>
    </row>
    <row r="272">
      <c r="B272" s="29" t="s">
        <v>1217</v>
      </c>
      <c r="C272" s="29" t="s">
        <v>1243</v>
      </c>
      <c r="D272" s="8" t="s">
        <v>1259</v>
      </c>
      <c r="E272" s="10" t="s">
        <v>1590</v>
      </c>
      <c r="F272" s="10"/>
      <c r="G272" s="10">
        <v>3</v>
      </c>
      <c r="H272" s="10">
        <v>1</v>
      </c>
      <c r="I272" s="10">
        <v>1</v>
      </c>
      <c r="J272" s="10">
        <v>1062</v>
      </c>
      <c r="K272" s="104"/>
      <c r="L272" s="104">
        <v>45311</v>
      </c>
      <c r="M272" s="10" t="b">
        <v>0</v>
      </c>
      <c r="N272" s="10"/>
      <c r="O272" s="11">
        <v>1455</v>
      </c>
      <c r="P272" s="85">
        <v>1.3700564971751412</v>
      </c>
      <c r="Q272" s="11">
        <v>1334</v>
      </c>
      <c r="R272" s="85">
        <v>1.256120527306968</v>
      </c>
      <c r="S272" s="29" t="s">
        <v>1998</v>
      </c>
      <c r="T272" s="29" t="s">
        <v>2030</v>
      </c>
    </row>
    <row r="273">
      <c r="B273" s="29" t="s">
        <v>1217</v>
      </c>
      <c r="C273" s="29" t="s">
        <v>1243</v>
      </c>
      <c r="D273" s="8" t="s">
        <v>1259</v>
      </c>
      <c r="E273" s="10" t="s">
        <v>1591</v>
      </c>
      <c r="F273" s="10"/>
      <c r="G273" s="10">
        <v>3</v>
      </c>
      <c r="H273" s="10">
        <v>1</v>
      </c>
      <c r="I273" s="10">
        <v>1</v>
      </c>
      <c r="J273" s="10">
        <v>1062</v>
      </c>
      <c r="K273" s="104">
        <v>45096</v>
      </c>
      <c r="L273" s="104">
        <v>45113</v>
      </c>
      <c r="M273" s="10" t="b">
        <v>0</v>
      </c>
      <c r="N273" s="10">
        <v>18</v>
      </c>
      <c r="O273" s="11">
        <v>1455</v>
      </c>
      <c r="P273" s="85">
        <v>1.3700564971751412</v>
      </c>
      <c r="Q273" s="11">
        <v>1455</v>
      </c>
      <c r="R273" s="85">
        <v>1.3700564971751412</v>
      </c>
      <c r="S273" s="29" t="s">
        <v>1998</v>
      </c>
      <c r="T273" s="29" t="s">
        <v>1998</v>
      </c>
    </row>
    <row r="274">
      <c r="B274" s="29" t="s">
        <v>1217</v>
      </c>
      <c r="C274" s="29" t="s">
        <v>1243</v>
      </c>
      <c r="D274" s="8" t="s">
        <v>1259</v>
      </c>
      <c r="E274" s="10" t="s">
        <v>1592</v>
      </c>
      <c r="F274" s="10"/>
      <c r="G274" s="10">
        <v>3</v>
      </c>
      <c r="H274" s="10">
        <v>1</v>
      </c>
      <c r="I274" s="10">
        <v>1</v>
      </c>
      <c r="J274" s="10">
        <v>1062</v>
      </c>
      <c r="K274" s="104">
        <v>45301</v>
      </c>
      <c r="L274" s="104">
        <v>45311</v>
      </c>
      <c r="M274" s="10" t="b">
        <v>0</v>
      </c>
      <c r="N274" s="10">
        <v>11</v>
      </c>
      <c r="O274" s="11">
        <v>1530</v>
      </c>
      <c r="P274" s="85">
        <v>1.4406779661016949</v>
      </c>
      <c r="Q274" s="11">
        <v>1402</v>
      </c>
      <c r="R274" s="85">
        <v>1.32015065913371</v>
      </c>
      <c r="S274" s="29" t="s">
        <v>1998</v>
      </c>
      <c r="T274" s="29" t="s">
        <v>2030</v>
      </c>
    </row>
    <row r="275">
      <c r="B275" s="29" t="s">
        <v>1217</v>
      </c>
      <c r="C275" s="29" t="s">
        <v>1243</v>
      </c>
      <c r="D275" s="8" t="s">
        <v>1259</v>
      </c>
      <c r="E275" s="10" t="s">
        <v>1593</v>
      </c>
      <c r="F275" s="10"/>
      <c r="G275" s="10">
        <v>3</v>
      </c>
      <c r="H275" s="10">
        <v>1</v>
      </c>
      <c r="I275" s="10">
        <v>1</v>
      </c>
      <c r="J275" s="10">
        <v>1062</v>
      </c>
      <c r="K275" s="104">
        <v>45120</v>
      </c>
      <c r="L275" s="104">
        <v>45298</v>
      </c>
      <c r="M275" s="10" t="b">
        <v>0</v>
      </c>
      <c r="N275" s="10">
        <v>179</v>
      </c>
      <c r="O275" s="11">
        <v>1530</v>
      </c>
      <c r="P275" s="85">
        <v>1.4406779661016949</v>
      </c>
      <c r="Q275" s="11">
        <v>1402</v>
      </c>
      <c r="R275" s="85">
        <v>1.32015065913371</v>
      </c>
      <c r="S275" s="29" t="s">
        <v>1998</v>
      </c>
      <c r="T275" s="29" t="s">
        <v>2030</v>
      </c>
    </row>
    <row r="276">
      <c r="B276" s="29" t="s">
        <v>1217</v>
      </c>
      <c r="C276" s="29" t="s">
        <v>1243</v>
      </c>
      <c r="D276" s="8" t="s">
        <v>1259</v>
      </c>
      <c r="E276" s="10" t="s">
        <v>1594</v>
      </c>
      <c r="F276" s="10"/>
      <c r="G276" s="10">
        <v>3</v>
      </c>
      <c r="H276" s="10">
        <v>1</v>
      </c>
      <c r="I276" s="10">
        <v>1</v>
      </c>
      <c r="J276" s="10">
        <v>1062</v>
      </c>
      <c r="K276" s="104">
        <v>45351</v>
      </c>
      <c r="L276" s="104">
        <v>45352</v>
      </c>
      <c r="M276" s="10" t="b">
        <v>0</v>
      </c>
      <c r="N276" s="10">
        <v>2</v>
      </c>
      <c r="O276" s="11">
        <v>1580</v>
      </c>
      <c r="P276" s="85">
        <v>1.487758945386064</v>
      </c>
      <c r="Q276" s="11">
        <v>1580</v>
      </c>
      <c r="R276" s="85">
        <v>1.487758945386064</v>
      </c>
      <c r="S276" s="29" t="s">
        <v>2006</v>
      </c>
      <c r="T276" s="29" t="s">
        <v>2034</v>
      </c>
    </row>
    <row r="277">
      <c r="B277" s="29" t="s">
        <v>1217</v>
      </c>
      <c r="C277" s="29" t="s">
        <v>1243</v>
      </c>
      <c r="D277" s="8" t="s">
        <v>1259</v>
      </c>
      <c r="E277" s="10" t="s">
        <v>1595</v>
      </c>
      <c r="F277" s="10"/>
      <c r="G277" s="10">
        <v>3</v>
      </c>
      <c r="H277" s="10">
        <v>1</v>
      </c>
      <c r="I277" s="10">
        <v>1</v>
      </c>
      <c r="J277" s="10">
        <v>1062</v>
      </c>
      <c r="K277" s="104">
        <v>45631</v>
      </c>
      <c r="L277" s="104">
        <v>45698</v>
      </c>
      <c r="M277" s="10" t="b">
        <v>0</v>
      </c>
      <c r="N277" s="10">
        <v>68</v>
      </c>
      <c r="O277" s="11">
        <v>1655</v>
      </c>
      <c r="P277" s="85">
        <v>1.5583804143126176</v>
      </c>
      <c r="Q277" s="11">
        <v>1655</v>
      </c>
      <c r="R277" s="85">
        <v>1.5583804143126176</v>
      </c>
      <c r="S277" s="29" t="s">
        <v>2000</v>
      </c>
      <c r="T277" s="29" t="s">
        <v>2030</v>
      </c>
    </row>
    <row r="278">
      <c r="B278" s="29" t="s">
        <v>1217</v>
      </c>
      <c r="C278" s="29" t="s">
        <v>1243</v>
      </c>
      <c r="D278" s="8" t="s">
        <v>1259</v>
      </c>
      <c r="E278" s="10" t="s">
        <v>1596</v>
      </c>
      <c r="F278" s="10"/>
      <c r="G278" s="10">
        <v>3</v>
      </c>
      <c r="H278" s="10">
        <v>1</v>
      </c>
      <c r="I278" s="10">
        <v>1</v>
      </c>
      <c r="J278" s="10">
        <v>1062</v>
      </c>
      <c r="K278" s="104">
        <v>45413</v>
      </c>
      <c r="L278" s="104">
        <v>45526</v>
      </c>
      <c r="M278" s="10" t="b">
        <v>0</v>
      </c>
      <c r="N278" s="10">
        <v>114</v>
      </c>
      <c r="O278" s="11">
        <v>1655</v>
      </c>
      <c r="P278" s="85">
        <v>1.5583804143126176</v>
      </c>
      <c r="Q278" s="11">
        <v>1517</v>
      </c>
      <c r="R278" s="85">
        <v>1.4284369114877589</v>
      </c>
      <c r="S278" s="29" t="s">
        <v>1999</v>
      </c>
      <c r="T278" s="29" t="s">
        <v>2030</v>
      </c>
    </row>
    <row r="279">
      <c r="B279" s="29" t="s">
        <v>1217</v>
      </c>
      <c r="C279" s="29" t="s">
        <v>1243</v>
      </c>
      <c r="D279" s="8" t="s">
        <v>1259</v>
      </c>
      <c r="E279" s="10" t="s">
        <v>1597</v>
      </c>
      <c r="F279" s="10"/>
      <c r="G279" s="10">
        <v>3</v>
      </c>
      <c r="H279" s="10">
        <v>1</v>
      </c>
      <c r="I279" s="10">
        <v>1</v>
      </c>
      <c r="J279" s="10">
        <v>1062</v>
      </c>
      <c r="K279" s="104">
        <v>45483</v>
      </c>
      <c r="L279" s="104">
        <v>45646</v>
      </c>
      <c r="M279" s="10" t="b">
        <v>0</v>
      </c>
      <c r="N279" s="10">
        <v>164</v>
      </c>
      <c r="O279" s="11">
        <v>1655</v>
      </c>
      <c r="P279" s="85">
        <v>1.5583804143126176</v>
      </c>
      <c r="Q279" s="11">
        <v>1655</v>
      </c>
      <c r="R279" s="85">
        <v>1.5583804143126176</v>
      </c>
      <c r="S279" s="29" t="s">
        <v>1999</v>
      </c>
      <c r="T279" s="29" t="s">
        <v>2030</v>
      </c>
    </row>
    <row r="280">
      <c r="B280" s="29" t="s">
        <v>1217</v>
      </c>
      <c r="C280" s="29" t="s">
        <v>1243</v>
      </c>
      <c r="D280" s="8" t="s">
        <v>1259</v>
      </c>
      <c r="E280" s="10" t="s">
        <v>1598</v>
      </c>
      <c r="F280" s="10"/>
      <c r="G280" s="10">
        <v>3</v>
      </c>
      <c r="H280" s="10">
        <v>1</v>
      </c>
      <c r="I280" s="10">
        <v>1</v>
      </c>
      <c r="J280" s="10">
        <v>1062</v>
      </c>
      <c r="K280" s="104">
        <v>45476</v>
      </c>
      <c r="L280" s="104">
        <v>45611</v>
      </c>
      <c r="M280" s="10" t="b">
        <v>0</v>
      </c>
      <c r="N280" s="10">
        <v>136</v>
      </c>
      <c r="O280" s="11">
        <v>1655</v>
      </c>
      <c r="P280" s="85">
        <v>1.5583804143126176</v>
      </c>
      <c r="Q280" s="11">
        <v>1655</v>
      </c>
      <c r="R280" s="85">
        <v>1.5583804143126176</v>
      </c>
      <c r="S280" s="29" t="s">
        <v>1999</v>
      </c>
      <c r="T280" s="29" t="s">
        <v>2030</v>
      </c>
    </row>
    <row r="281">
      <c r="B281" s="29" t="s">
        <v>1217</v>
      </c>
      <c r="C281" s="29" t="s">
        <v>1243</v>
      </c>
      <c r="D281" s="8" t="s">
        <v>1259</v>
      </c>
      <c r="E281" s="10" t="s">
        <v>1599</v>
      </c>
      <c r="F281" s="10"/>
      <c r="G281" s="10">
        <v>3</v>
      </c>
      <c r="H281" s="10">
        <v>1</v>
      </c>
      <c r="I281" s="10">
        <v>1</v>
      </c>
      <c r="J281" s="10">
        <v>1062</v>
      </c>
      <c r="K281" s="104">
        <v>45517</v>
      </c>
      <c r="L281" s="104">
        <v>45713</v>
      </c>
      <c r="M281" s="10" t="b">
        <v>0</v>
      </c>
      <c r="N281" s="10">
        <v>197</v>
      </c>
      <c r="O281" s="11">
        <v>1655</v>
      </c>
      <c r="P281" s="85">
        <v>1.5583804143126176</v>
      </c>
      <c r="Q281" s="11">
        <v>1655</v>
      </c>
      <c r="R281" s="85">
        <v>1.5583804143126176</v>
      </c>
      <c r="S281" s="29" t="s">
        <v>1999</v>
      </c>
      <c r="T281" s="29" t="s">
        <v>2030</v>
      </c>
    </row>
    <row r="282">
      <c r="B282" s="29" t="s">
        <v>1217</v>
      </c>
      <c r="C282" s="29" t="s">
        <v>1243</v>
      </c>
      <c r="D282" s="8" t="s">
        <v>1259</v>
      </c>
      <c r="E282" s="10" t="s">
        <v>1600</v>
      </c>
      <c r="F282" s="10"/>
      <c r="G282" s="10">
        <v>3</v>
      </c>
      <c r="H282" s="10">
        <v>1</v>
      </c>
      <c r="I282" s="10">
        <v>1</v>
      </c>
      <c r="J282" s="10">
        <v>1062</v>
      </c>
      <c r="K282" s="104">
        <v>45301</v>
      </c>
      <c r="L282" s="104">
        <v>45521</v>
      </c>
      <c r="M282" s="10" t="b">
        <v>0</v>
      </c>
      <c r="N282" s="10">
        <v>221</v>
      </c>
      <c r="O282" s="11">
        <v>1655</v>
      </c>
      <c r="P282" s="85">
        <v>1.5583804143126176</v>
      </c>
      <c r="Q282" s="11">
        <v>1517</v>
      </c>
      <c r="R282" s="85">
        <v>1.4284369114877589</v>
      </c>
      <c r="S282" s="29" t="s">
        <v>2000</v>
      </c>
      <c r="T282" s="29" t="s">
        <v>2030</v>
      </c>
    </row>
    <row r="283">
      <c r="B283" s="29" t="s">
        <v>1217</v>
      </c>
      <c r="C283" s="29" t="s">
        <v>1243</v>
      </c>
      <c r="D283" s="8" t="s">
        <v>1259</v>
      </c>
      <c r="E283" s="10" t="s">
        <v>1601</v>
      </c>
      <c r="F283" s="10"/>
      <c r="G283" s="10">
        <v>3</v>
      </c>
      <c r="H283" s="10">
        <v>1</v>
      </c>
      <c r="I283" s="10">
        <v>1</v>
      </c>
      <c r="J283" s="10">
        <v>1062</v>
      </c>
      <c r="K283" s="104">
        <v>45707</v>
      </c>
      <c r="L283" s="104">
        <v>45768</v>
      </c>
      <c r="M283" s="10" t="b">
        <v>0</v>
      </c>
      <c r="N283" s="10">
        <v>62</v>
      </c>
      <c r="O283" s="11">
        <v>1730</v>
      </c>
      <c r="P283" s="85">
        <v>1.6290018832391713</v>
      </c>
      <c r="Q283" s="11">
        <v>1597</v>
      </c>
      <c r="R283" s="85">
        <v>1.5037664783427496</v>
      </c>
      <c r="S283" s="29" t="s">
        <v>2001</v>
      </c>
      <c r="T283" s="29" t="s">
        <v>2032</v>
      </c>
    </row>
    <row r="284">
      <c r="B284" s="29" t="s">
        <v>1217</v>
      </c>
      <c r="C284" s="29" t="s">
        <v>1243</v>
      </c>
      <c r="D284" s="8" t="s">
        <v>1259</v>
      </c>
      <c r="E284" s="10" t="s">
        <v>1602</v>
      </c>
      <c r="F284" s="10"/>
      <c r="G284" s="10">
        <v>3</v>
      </c>
      <c r="H284" s="10">
        <v>1</v>
      </c>
      <c r="I284" s="10">
        <v>1</v>
      </c>
      <c r="J284" s="10">
        <v>1062</v>
      </c>
      <c r="K284" s="104">
        <v>45465</v>
      </c>
      <c r="L284" s="104">
        <v>45647</v>
      </c>
      <c r="M284" s="10" t="b">
        <v>0</v>
      </c>
      <c r="N284" s="10">
        <v>183</v>
      </c>
      <c r="O284" s="11">
        <v>1730</v>
      </c>
      <c r="P284" s="85">
        <v>1.6290018832391713</v>
      </c>
      <c r="Q284" s="11">
        <v>1730</v>
      </c>
      <c r="R284" s="85">
        <v>1.6290018832391713</v>
      </c>
      <c r="S284" s="29" t="s">
        <v>2001</v>
      </c>
      <c r="T284" s="29" t="s">
        <v>2032</v>
      </c>
    </row>
    <row r="285">
      <c r="B285" s="29" t="s">
        <v>1217</v>
      </c>
      <c r="C285" s="29" t="s">
        <v>1243</v>
      </c>
      <c r="D285" s="8" t="s">
        <v>1259</v>
      </c>
      <c r="E285" s="10" t="s">
        <v>1603</v>
      </c>
      <c r="F285" s="10"/>
      <c r="G285" s="10">
        <v>3</v>
      </c>
      <c r="H285" s="10">
        <v>1</v>
      </c>
      <c r="I285" s="10">
        <v>1</v>
      </c>
      <c r="J285" s="10">
        <v>1062</v>
      </c>
      <c r="K285" s="104">
        <v>45676</v>
      </c>
      <c r="L285" s="104">
        <v>45728</v>
      </c>
      <c r="M285" s="10" t="b">
        <v>0</v>
      </c>
      <c r="N285" s="10">
        <v>53</v>
      </c>
      <c r="O285" s="11">
        <v>1730</v>
      </c>
      <c r="P285" s="85">
        <v>1.6290018832391713</v>
      </c>
      <c r="Q285" s="11">
        <v>1606</v>
      </c>
      <c r="R285" s="85">
        <v>1.512241054613936</v>
      </c>
      <c r="S285" s="29" t="s">
        <v>2001</v>
      </c>
      <c r="T285" s="29" t="s">
        <v>2032</v>
      </c>
    </row>
    <row r="286">
      <c r="B286" s="29" t="s">
        <v>1217</v>
      </c>
      <c r="C286" s="29" t="s">
        <v>1243</v>
      </c>
      <c r="D286" s="8" t="s">
        <v>1259</v>
      </c>
      <c r="E286" s="10" t="s">
        <v>1604</v>
      </c>
      <c r="F286" s="10"/>
      <c r="G286" s="10">
        <v>3</v>
      </c>
      <c r="H286" s="10">
        <v>1</v>
      </c>
      <c r="I286" s="10">
        <v>1</v>
      </c>
      <c r="J286" s="10">
        <v>1062</v>
      </c>
      <c r="K286" s="104">
        <v>45728</v>
      </c>
      <c r="L286" s="104"/>
      <c r="M286" s="10" t="b">
        <v>1</v>
      </c>
      <c r="N286" s="10"/>
      <c r="O286" s="11">
        <v>1730</v>
      </c>
      <c r="P286" s="85">
        <v>1.6290018832391713</v>
      </c>
      <c r="Q286" s="11">
        <v>1730</v>
      </c>
      <c r="R286" s="85">
        <v>1.6290018832391713</v>
      </c>
      <c r="S286" s="29" t="s">
        <v>2001</v>
      </c>
      <c r="T286" s="29" t="s">
        <v>2032</v>
      </c>
    </row>
    <row r="287">
      <c r="B287" s="29" t="s">
        <v>1217</v>
      </c>
      <c r="C287" s="29" t="s">
        <v>1243</v>
      </c>
      <c r="D287" s="8" t="s">
        <v>1259</v>
      </c>
      <c r="E287" s="10" t="s">
        <v>1605</v>
      </c>
      <c r="F287" s="10"/>
      <c r="G287" s="10">
        <v>3</v>
      </c>
      <c r="H287" s="10">
        <v>1</v>
      </c>
      <c r="I287" s="10">
        <v>1</v>
      </c>
      <c r="J287" s="10">
        <v>1062</v>
      </c>
      <c r="K287" s="104">
        <v>45708</v>
      </c>
      <c r="L287" s="104">
        <v>45774</v>
      </c>
      <c r="M287" s="10" t="b">
        <v>0</v>
      </c>
      <c r="N287" s="10">
        <v>67</v>
      </c>
      <c r="O287" s="11">
        <v>1730</v>
      </c>
      <c r="P287" s="85">
        <v>1.6290018832391713</v>
      </c>
      <c r="Q287" s="11">
        <v>1597</v>
      </c>
      <c r="R287" s="85">
        <v>1.5037664783427496</v>
      </c>
      <c r="S287" s="29" t="s">
        <v>2001</v>
      </c>
      <c r="T287" s="29" t="s">
        <v>2032</v>
      </c>
    </row>
    <row r="288">
      <c r="B288" s="29" t="s">
        <v>1217</v>
      </c>
      <c r="C288" s="29" t="s">
        <v>1243</v>
      </c>
      <c r="D288" s="8" t="s">
        <v>1259</v>
      </c>
      <c r="E288" s="10" t="s">
        <v>1606</v>
      </c>
      <c r="F288" s="10">
        <v>3</v>
      </c>
      <c r="G288" s="10">
        <v>3</v>
      </c>
      <c r="H288" s="10">
        <v>1</v>
      </c>
      <c r="I288" s="10">
        <v>1</v>
      </c>
      <c r="J288" s="10">
        <v>1062</v>
      </c>
      <c r="K288" s="104">
        <v>45569</v>
      </c>
      <c r="L288" s="104">
        <v>45599</v>
      </c>
      <c r="M288" s="10" t="b">
        <v>0</v>
      </c>
      <c r="N288" s="10">
        <v>31</v>
      </c>
      <c r="O288" s="11">
        <v>1730</v>
      </c>
      <c r="P288" s="85">
        <v>1.6290018832391713</v>
      </c>
      <c r="Q288" s="11">
        <v>1730</v>
      </c>
      <c r="R288" s="85">
        <v>1.6290018832391713</v>
      </c>
      <c r="S288" s="29" t="s">
        <v>2001</v>
      </c>
      <c r="T288" s="29" t="s">
        <v>2032</v>
      </c>
    </row>
    <row r="289">
      <c r="B289" s="29" t="s">
        <v>1217</v>
      </c>
      <c r="C289" s="29" t="s">
        <v>1243</v>
      </c>
      <c r="D289" s="8" t="s">
        <v>1259</v>
      </c>
      <c r="E289" s="10" t="s">
        <v>1607</v>
      </c>
      <c r="F289" s="10">
        <v>3</v>
      </c>
      <c r="G289" s="10">
        <v>3</v>
      </c>
      <c r="H289" s="10">
        <v>1</v>
      </c>
      <c r="I289" s="10">
        <v>1</v>
      </c>
      <c r="J289" s="10">
        <v>1062</v>
      </c>
      <c r="K289" s="104">
        <v>45469</v>
      </c>
      <c r="L289" s="104">
        <v>45780</v>
      </c>
      <c r="M289" s="10" t="b">
        <v>0</v>
      </c>
      <c r="N289" s="10">
        <v>312</v>
      </c>
      <c r="O289" s="11">
        <v>1730</v>
      </c>
      <c r="P289" s="85">
        <v>1.6290018832391713</v>
      </c>
      <c r="Q289" s="11">
        <v>1730</v>
      </c>
      <c r="R289" s="85">
        <v>1.6290018832391713</v>
      </c>
      <c r="S289" s="29" t="s">
        <v>2001</v>
      </c>
      <c r="T289" s="29" t="s">
        <v>2032</v>
      </c>
    </row>
    <row r="290">
      <c r="B290" s="29" t="s">
        <v>1217</v>
      </c>
      <c r="C290" s="29" t="s">
        <v>1243</v>
      </c>
      <c r="D290" s="8" t="s">
        <v>1259</v>
      </c>
      <c r="E290" s="10" t="s">
        <v>1608</v>
      </c>
      <c r="F290" s="10">
        <v>2</v>
      </c>
      <c r="G290" s="10">
        <v>3</v>
      </c>
      <c r="H290" s="10">
        <v>1</v>
      </c>
      <c r="I290" s="10">
        <v>1</v>
      </c>
      <c r="J290" s="10">
        <v>1062</v>
      </c>
      <c r="K290" s="104">
        <v>45677</v>
      </c>
      <c r="L290" s="104">
        <v>45748</v>
      </c>
      <c r="M290" s="10" t="b">
        <v>0</v>
      </c>
      <c r="N290" s="10">
        <v>72</v>
      </c>
      <c r="O290" s="11">
        <v>1730</v>
      </c>
      <c r="P290" s="85">
        <v>1.6290018832391713</v>
      </c>
      <c r="Q290" s="11">
        <v>1730</v>
      </c>
      <c r="R290" s="85">
        <v>1.6290018832391713</v>
      </c>
      <c r="S290" s="29" t="s">
        <v>2005</v>
      </c>
      <c r="T290" s="29" t="s">
        <v>2032</v>
      </c>
    </row>
    <row r="291">
      <c r="B291" s="29" t="s">
        <v>1217</v>
      </c>
      <c r="C291" s="29" t="s">
        <v>1243</v>
      </c>
      <c r="D291" s="8" t="s">
        <v>1259</v>
      </c>
      <c r="E291" s="10" t="s">
        <v>1609</v>
      </c>
      <c r="F291" s="10"/>
      <c r="G291" s="10">
        <v>3</v>
      </c>
      <c r="H291" s="10">
        <v>1</v>
      </c>
      <c r="I291" s="10">
        <v>1</v>
      </c>
      <c r="J291" s="10">
        <v>1062</v>
      </c>
      <c r="K291" s="104">
        <v>45676</v>
      </c>
      <c r="L291" s="104">
        <v>45783</v>
      </c>
      <c r="M291" s="10" t="b">
        <v>0</v>
      </c>
      <c r="N291" s="10">
        <v>108</v>
      </c>
      <c r="O291" s="11">
        <v>1730</v>
      </c>
      <c r="P291" s="85">
        <v>1.6290018832391713</v>
      </c>
      <c r="Q291" s="11">
        <v>1730</v>
      </c>
      <c r="R291" s="85">
        <v>1.6290018832391713</v>
      </c>
      <c r="S291" s="29" t="s">
        <v>2001</v>
      </c>
      <c r="T291" s="29" t="s">
        <v>2032</v>
      </c>
    </row>
    <row r="292">
      <c r="B292" s="29" t="s">
        <v>1217</v>
      </c>
      <c r="C292" s="29" t="s">
        <v>1243</v>
      </c>
      <c r="D292" s="8" t="s">
        <v>1259</v>
      </c>
      <c r="E292" s="10" t="s">
        <v>1610</v>
      </c>
      <c r="F292" s="10">
        <v>3</v>
      </c>
      <c r="G292" s="10">
        <v>3</v>
      </c>
      <c r="H292" s="10">
        <v>1</v>
      </c>
      <c r="I292" s="10">
        <v>1</v>
      </c>
      <c r="J292" s="10">
        <v>1062</v>
      </c>
      <c r="K292" s="104">
        <v>45532</v>
      </c>
      <c r="L292" s="104">
        <v>45623</v>
      </c>
      <c r="M292" s="10" t="b">
        <v>0</v>
      </c>
      <c r="N292" s="10">
        <v>92</v>
      </c>
      <c r="O292" s="11">
        <v>1780</v>
      </c>
      <c r="P292" s="85">
        <v>1.6760828625235404</v>
      </c>
      <c r="Q292" s="11">
        <v>1780</v>
      </c>
      <c r="R292" s="85">
        <v>1.6760828625235404</v>
      </c>
      <c r="S292" s="29" t="s">
        <v>2006</v>
      </c>
      <c r="T292" s="29" t="s">
        <v>2034</v>
      </c>
    </row>
    <row r="293">
      <c r="B293" s="29" t="s">
        <v>1217</v>
      </c>
      <c r="C293" s="29" t="s">
        <v>1243</v>
      </c>
      <c r="D293" s="8" t="s">
        <v>1259</v>
      </c>
      <c r="E293" s="10" t="s">
        <v>1611</v>
      </c>
      <c r="F293" s="10"/>
      <c r="G293" s="10">
        <v>3</v>
      </c>
      <c r="H293" s="10">
        <v>1</v>
      </c>
      <c r="I293" s="10">
        <v>1</v>
      </c>
      <c r="J293" s="10">
        <v>1062</v>
      </c>
      <c r="K293" s="104">
        <v>45383</v>
      </c>
      <c r="L293" s="104">
        <v>45446</v>
      </c>
      <c r="M293" s="10" t="b">
        <v>0</v>
      </c>
      <c r="N293" s="10">
        <v>64</v>
      </c>
      <c r="O293" s="11">
        <v>1780</v>
      </c>
      <c r="P293" s="85">
        <v>1.6760828625235404</v>
      </c>
      <c r="Q293" s="11">
        <v>1780</v>
      </c>
      <c r="R293" s="85">
        <v>1.6760828625235404</v>
      </c>
      <c r="S293" s="29" t="s">
        <v>2006</v>
      </c>
      <c r="T293" s="29" t="s">
        <v>2034</v>
      </c>
    </row>
    <row r="294">
      <c r="B294" s="29" t="s">
        <v>1217</v>
      </c>
      <c r="C294" s="29" t="s">
        <v>1243</v>
      </c>
      <c r="D294" s="8" t="s">
        <v>1259</v>
      </c>
      <c r="E294" s="10" t="s">
        <v>1612</v>
      </c>
      <c r="F294" s="10"/>
      <c r="G294" s="10">
        <v>3</v>
      </c>
      <c r="H294" s="10">
        <v>1</v>
      </c>
      <c r="I294" s="10">
        <v>1</v>
      </c>
      <c r="J294" s="10">
        <v>1062</v>
      </c>
      <c r="K294" s="104">
        <v>45495</v>
      </c>
      <c r="L294" s="104">
        <v>45608</v>
      </c>
      <c r="M294" s="10" t="b">
        <v>0</v>
      </c>
      <c r="N294" s="10">
        <v>114</v>
      </c>
      <c r="O294" s="11">
        <v>1780</v>
      </c>
      <c r="P294" s="85">
        <v>1.6760828625235404</v>
      </c>
      <c r="Q294" s="11">
        <v>1780</v>
      </c>
      <c r="R294" s="85">
        <v>1.6760828625235404</v>
      </c>
      <c r="S294" s="29" t="s">
        <v>2006</v>
      </c>
      <c r="T294" s="29" t="s">
        <v>2034</v>
      </c>
    </row>
    <row r="295">
      <c r="B295" s="29" t="s">
        <v>1217</v>
      </c>
      <c r="C295" s="29" t="s">
        <v>1243</v>
      </c>
      <c r="D295" s="8" t="s">
        <v>1259</v>
      </c>
      <c r="E295" s="10" t="s">
        <v>1613</v>
      </c>
      <c r="F295" s="10"/>
      <c r="G295" s="10">
        <v>3</v>
      </c>
      <c r="H295" s="10">
        <v>1</v>
      </c>
      <c r="I295" s="10">
        <v>1</v>
      </c>
      <c r="J295" s="10">
        <v>1062</v>
      </c>
      <c r="K295" s="104">
        <v>45564</v>
      </c>
      <c r="L295" s="104"/>
      <c r="M295" s="10" t="b">
        <v>1</v>
      </c>
      <c r="N295" s="10"/>
      <c r="O295" s="11">
        <v>1780</v>
      </c>
      <c r="P295" s="85">
        <v>1.6760828625235404</v>
      </c>
      <c r="Q295" s="11">
        <v>1780</v>
      </c>
      <c r="R295" s="85">
        <v>1.6760828625235404</v>
      </c>
      <c r="S295" s="29" t="s">
        <v>2006</v>
      </c>
      <c r="T295" s="29" t="s">
        <v>2034</v>
      </c>
    </row>
    <row r="296">
      <c r="B296" s="29" t="s">
        <v>1217</v>
      </c>
      <c r="C296" s="29" t="s">
        <v>1243</v>
      </c>
      <c r="D296" s="8" t="s">
        <v>1259</v>
      </c>
      <c r="E296" s="10" t="s">
        <v>1614</v>
      </c>
      <c r="F296" s="10"/>
      <c r="G296" s="10">
        <v>3</v>
      </c>
      <c r="H296" s="10">
        <v>1</v>
      </c>
      <c r="I296" s="10">
        <v>1</v>
      </c>
      <c r="J296" s="10">
        <v>1062</v>
      </c>
      <c r="K296" s="104">
        <v>45548</v>
      </c>
      <c r="L296" s="104"/>
      <c r="M296" s="10" t="b">
        <v>1</v>
      </c>
      <c r="N296" s="10"/>
      <c r="O296" s="11">
        <v>1780</v>
      </c>
      <c r="P296" s="85">
        <v>1.6760828625235404</v>
      </c>
      <c r="Q296" s="11">
        <v>1780</v>
      </c>
      <c r="R296" s="85">
        <v>1.6760828625235404</v>
      </c>
      <c r="S296" s="29" t="s">
        <v>2006</v>
      </c>
      <c r="T296" s="29" t="s">
        <v>2034</v>
      </c>
    </row>
    <row r="297">
      <c r="B297" s="29" t="s">
        <v>1217</v>
      </c>
      <c r="C297" s="29" t="s">
        <v>1243</v>
      </c>
      <c r="D297" s="8" t="s">
        <v>1259</v>
      </c>
      <c r="E297" s="10" t="s">
        <v>1615</v>
      </c>
      <c r="F297" s="10"/>
      <c r="G297" s="10">
        <v>3</v>
      </c>
      <c r="H297" s="10">
        <v>1</v>
      </c>
      <c r="I297" s="10">
        <v>1</v>
      </c>
      <c r="J297" s="10">
        <v>1062</v>
      </c>
      <c r="K297" s="104">
        <v>45584</v>
      </c>
      <c r="L297" s="104">
        <v>45590</v>
      </c>
      <c r="M297" s="10" t="b">
        <v>0</v>
      </c>
      <c r="N297" s="10">
        <v>7</v>
      </c>
      <c r="O297" s="11">
        <v>1780</v>
      </c>
      <c r="P297" s="85">
        <v>1.6760828625235404</v>
      </c>
      <c r="Q297" s="11">
        <v>1780</v>
      </c>
      <c r="R297" s="85">
        <v>1.6760828625235404</v>
      </c>
      <c r="S297" s="29" t="s">
        <v>2006</v>
      </c>
      <c r="T297" s="29" t="s">
        <v>2034</v>
      </c>
    </row>
    <row r="298">
      <c r="B298" s="29" t="s">
        <v>1217</v>
      </c>
      <c r="C298" s="29" t="s">
        <v>1243</v>
      </c>
      <c r="D298" s="8" t="s">
        <v>1259</v>
      </c>
      <c r="E298" s="10" t="s">
        <v>1616</v>
      </c>
      <c r="F298" s="10"/>
      <c r="G298" s="10">
        <v>3</v>
      </c>
      <c r="H298" s="10">
        <v>1</v>
      </c>
      <c r="I298" s="10">
        <v>1</v>
      </c>
      <c r="J298" s="10">
        <v>1062</v>
      </c>
      <c r="K298" s="104">
        <v>45511</v>
      </c>
      <c r="L298" s="104">
        <v>45534</v>
      </c>
      <c r="M298" s="10" t="b">
        <v>0</v>
      </c>
      <c r="N298" s="10">
        <v>24</v>
      </c>
      <c r="O298" s="11">
        <v>1780</v>
      </c>
      <c r="P298" s="85">
        <v>1.6760828625235404</v>
      </c>
      <c r="Q298" s="11">
        <v>1780</v>
      </c>
      <c r="R298" s="85">
        <v>1.6760828625235404</v>
      </c>
      <c r="S298" s="29" t="s">
        <v>2006</v>
      </c>
      <c r="T298" s="29" t="s">
        <v>2034</v>
      </c>
    </row>
    <row r="299">
      <c r="B299" s="29" t="s">
        <v>1217</v>
      </c>
      <c r="C299" s="29" t="s">
        <v>1243</v>
      </c>
      <c r="D299" s="8" t="s">
        <v>1259</v>
      </c>
      <c r="E299" s="10" t="s">
        <v>1617</v>
      </c>
      <c r="F299" s="10"/>
      <c r="G299" s="10">
        <v>3</v>
      </c>
      <c r="H299" s="10">
        <v>1</v>
      </c>
      <c r="I299" s="10">
        <v>1</v>
      </c>
      <c r="J299" s="10">
        <v>1062</v>
      </c>
      <c r="K299" s="104">
        <v>45677</v>
      </c>
      <c r="L299" s="104">
        <v>45742</v>
      </c>
      <c r="M299" s="10" t="b">
        <v>0</v>
      </c>
      <c r="N299" s="10">
        <v>66</v>
      </c>
      <c r="O299" s="11">
        <v>1780</v>
      </c>
      <c r="P299" s="85">
        <v>1.6760828625235404</v>
      </c>
      <c r="Q299" s="11">
        <v>1653</v>
      </c>
      <c r="R299" s="85">
        <v>1.5564971751412429</v>
      </c>
      <c r="S299" s="29" t="s">
        <v>2006</v>
      </c>
      <c r="T299" s="29" t="s">
        <v>2034</v>
      </c>
    </row>
    <row r="300">
      <c r="B300" s="29" t="s">
        <v>1217</v>
      </c>
      <c r="C300" s="29" t="s">
        <v>1243</v>
      </c>
      <c r="D300" s="8" t="s">
        <v>1259</v>
      </c>
      <c r="E300" s="10" t="s">
        <v>1618</v>
      </c>
      <c r="F300" s="10"/>
      <c r="G300" s="10">
        <v>3</v>
      </c>
      <c r="H300" s="10">
        <v>1</v>
      </c>
      <c r="I300" s="10">
        <v>1</v>
      </c>
      <c r="J300" s="10">
        <v>1062</v>
      </c>
      <c r="K300" s="104">
        <v>45541</v>
      </c>
      <c r="L300" s="104">
        <v>45594</v>
      </c>
      <c r="M300" s="10" t="b">
        <v>0</v>
      </c>
      <c r="N300" s="10">
        <v>54</v>
      </c>
      <c r="O300" s="11">
        <v>1780</v>
      </c>
      <c r="P300" s="85">
        <v>1.6760828625235404</v>
      </c>
      <c r="Q300" s="11">
        <v>1780</v>
      </c>
      <c r="R300" s="85">
        <v>1.6760828625235404</v>
      </c>
      <c r="S300" s="29" t="s">
        <v>2006</v>
      </c>
      <c r="T300" s="29" t="s">
        <v>2034</v>
      </c>
    </row>
    <row r="301">
      <c r="B301" s="29" t="s">
        <v>1217</v>
      </c>
      <c r="C301" s="29" t="s">
        <v>1243</v>
      </c>
      <c r="D301" s="8" t="s">
        <v>1259</v>
      </c>
      <c r="E301" s="10" t="s">
        <v>1619</v>
      </c>
      <c r="F301" s="10"/>
      <c r="G301" s="10">
        <v>3</v>
      </c>
      <c r="H301" s="10">
        <v>1</v>
      </c>
      <c r="I301" s="10">
        <v>1</v>
      </c>
      <c r="J301" s="10">
        <v>1062</v>
      </c>
      <c r="K301" s="104">
        <v>45700</v>
      </c>
      <c r="L301" s="104">
        <v>45779</v>
      </c>
      <c r="M301" s="10" t="b">
        <v>0</v>
      </c>
      <c r="N301" s="10">
        <v>80</v>
      </c>
      <c r="O301" s="11">
        <v>1780</v>
      </c>
      <c r="P301" s="85">
        <v>1.6760828625235404</v>
      </c>
      <c r="Q301" s="11">
        <v>1780</v>
      </c>
      <c r="R301" s="85">
        <v>1.6760828625235404</v>
      </c>
      <c r="S301" s="29" t="s">
        <v>2006</v>
      </c>
      <c r="T301" s="29" t="s">
        <v>2034</v>
      </c>
    </row>
    <row r="302">
      <c r="B302" s="29" t="s">
        <v>1217</v>
      </c>
      <c r="C302" s="29" t="s">
        <v>1243</v>
      </c>
      <c r="D302" s="8" t="s">
        <v>1259</v>
      </c>
      <c r="E302" s="10" t="s">
        <v>1620</v>
      </c>
      <c r="F302" s="10"/>
      <c r="G302" s="10">
        <v>3</v>
      </c>
      <c r="H302" s="10">
        <v>1</v>
      </c>
      <c r="I302" s="10">
        <v>1</v>
      </c>
      <c r="J302" s="10">
        <v>1062</v>
      </c>
      <c r="K302" s="104">
        <v>45434</v>
      </c>
      <c r="L302" s="104">
        <v>45528</v>
      </c>
      <c r="M302" s="10" t="b">
        <v>0</v>
      </c>
      <c r="N302" s="10">
        <v>95</v>
      </c>
      <c r="O302" s="11">
        <v>1780</v>
      </c>
      <c r="P302" s="85">
        <v>1.6760828625235404</v>
      </c>
      <c r="Q302" s="11">
        <v>1632</v>
      </c>
      <c r="R302" s="85">
        <v>1.536723163841808</v>
      </c>
      <c r="S302" s="29" t="s">
        <v>2006</v>
      </c>
      <c r="T302" s="29" t="s">
        <v>2034</v>
      </c>
    </row>
    <row r="303">
      <c r="B303" s="29" t="s">
        <v>1217</v>
      </c>
      <c r="C303" s="29" t="s">
        <v>1243</v>
      </c>
      <c r="D303" s="8" t="s">
        <v>1260</v>
      </c>
      <c r="E303" s="10" t="s">
        <v>1621</v>
      </c>
      <c r="F303" s="10"/>
      <c r="G303" s="10">
        <v>3</v>
      </c>
      <c r="H303" s="10">
        <v>1</v>
      </c>
      <c r="I303" s="10">
        <v>1</v>
      </c>
      <c r="J303" s="10">
        <v>1062</v>
      </c>
      <c r="K303" s="104">
        <v>45686</v>
      </c>
      <c r="L303" s="104">
        <v>45699</v>
      </c>
      <c r="M303" s="10" t="b">
        <v>0</v>
      </c>
      <c r="N303" s="10">
        <v>14</v>
      </c>
      <c r="O303" s="11">
        <v>1879</v>
      </c>
      <c r="P303" s="85">
        <v>1.7693032015065913</v>
      </c>
      <c r="Q303" s="11">
        <v>1879</v>
      </c>
      <c r="R303" s="85">
        <v>1.7693032015065913</v>
      </c>
      <c r="S303" s="29" t="s">
        <v>2002</v>
      </c>
      <c r="T303" s="29" t="s">
        <v>2033</v>
      </c>
    </row>
    <row r="304">
      <c r="B304" s="29" t="s">
        <v>1217</v>
      </c>
      <c r="C304" s="29" t="s">
        <v>1243</v>
      </c>
      <c r="D304" s="8" t="s">
        <v>1260</v>
      </c>
      <c r="E304" s="10" t="s">
        <v>1622</v>
      </c>
      <c r="F304" s="10"/>
      <c r="G304" s="10">
        <v>3</v>
      </c>
      <c r="H304" s="10">
        <v>1</v>
      </c>
      <c r="I304" s="10">
        <v>1</v>
      </c>
      <c r="J304" s="10">
        <v>1062</v>
      </c>
      <c r="K304" s="104">
        <v>45665</v>
      </c>
      <c r="L304" s="104">
        <v>45688</v>
      </c>
      <c r="M304" s="10" t="b">
        <v>0</v>
      </c>
      <c r="N304" s="10">
        <v>24</v>
      </c>
      <c r="O304" s="11">
        <v>1879</v>
      </c>
      <c r="P304" s="85">
        <v>1.7693032015065913</v>
      </c>
      <c r="Q304" s="11">
        <v>1879</v>
      </c>
      <c r="R304" s="85">
        <v>1.7693032015065913</v>
      </c>
      <c r="S304" s="29" t="s">
        <v>2002</v>
      </c>
      <c r="T304" s="29" t="s">
        <v>2033</v>
      </c>
    </row>
    <row r="305">
      <c r="B305" s="29" t="s">
        <v>1217</v>
      </c>
      <c r="C305" s="29" t="s">
        <v>1243</v>
      </c>
      <c r="D305" s="8" t="s">
        <v>1260</v>
      </c>
      <c r="E305" s="10" t="s">
        <v>1623</v>
      </c>
      <c r="F305" s="10"/>
      <c r="G305" s="10">
        <v>3</v>
      </c>
      <c r="H305" s="10">
        <v>1</v>
      </c>
      <c r="I305" s="10">
        <v>1</v>
      </c>
      <c r="J305" s="10">
        <v>1062</v>
      </c>
      <c r="K305" s="104">
        <v>45469</v>
      </c>
      <c r="L305" s="104">
        <v>45516</v>
      </c>
      <c r="M305" s="10" t="b">
        <v>0</v>
      </c>
      <c r="N305" s="10">
        <v>48</v>
      </c>
      <c r="O305" s="11">
        <v>1879</v>
      </c>
      <c r="P305" s="85">
        <v>1.7693032015065913</v>
      </c>
      <c r="Q305" s="11">
        <v>1722</v>
      </c>
      <c r="R305" s="85">
        <v>1.6214689265536724</v>
      </c>
      <c r="S305" s="29" t="s">
        <v>2002</v>
      </c>
      <c r="T305" s="29" t="s">
        <v>2033</v>
      </c>
    </row>
    <row r="306">
      <c r="B306" s="29" t="s">
        <v>1217</v>
      </c>
      <c r="C306" s="29" t="s">
        <v>1243</v>
      </c>
      <c r="D306" s="8" t="s">
        <v>1260</v>
      </c>
      <c r="E306" s="10" t="s">
        <v>1624</v>
      </c>
      <c r="F306" s="10">
        <v>2</v>
      </c>
      <c r="G306" s="10">
        <v>3</v>
      </c>
      <c r="H306" s="10">
        <v>1</v>
      </c>
      <c r="I306" s="10">
        <v>1</v>
      </c>
      <c r="J306" s="10">
        <v>1062</v>
      </c>
      <c r="K306" s="104">
        <v>45398</v>
      </c>
      <c r="L306" s="104">
        <v>45491</v>
      </c>
      <c r="M306" s="10" t="b">
        <v>0</v>
      </c>
      <c r="N306" s="10">
        <v>94</v>
      </c>
      <c r="O306" s="11">
        <v>1879</v>
      </c>
      <c r="P306" s="85">
        <v>1.7693032015065913</v>
      </c>
      <c r="Q306" s="11">
        <v>1796</v>
      </c>
      <c r="R306" s="85">
        <v>1.6911487758945387</v>
      </c>
      <c r="S306" s="29" t="s">
        <v>2002</v>
      </c>
      <c r="T306" s="29" t="s">
        <v>2033</v>
      </c>
    </row>
    <row r="307">
      <c r="B307" s="29" t="s">
        <v>1217</v>
      </c>
      <c r="C307" s="29" t="s">
        <v>1243</v>
      </c>
      <c r="D307" s="8" t="s">
        <v>1260</v>
      </c>
      <c r="E307" s="10" t="s">
        <v>1625</v>
      </c>
      <c r="F307" s="10"/>
      <c r="G307" s="10">
        <v>3</v>
      </c>
      <c r="H307" s="10">
        <v>1</v>
      </c>
      <c r="I307" s="10">
        <v>1</v>
      </c>
      <c r="J307" s="10">
        <v>1062</v>
      </c>
      <c r="K307" s="104">
        <v>45666</v>
      </c>
      <c r="L307" s="104">
        <v>45709</v>
      </c>
      <c r="M307" s="10" t="b">
        <v>0</v>
      </c>
      <c r="N307" s="10">
        <v>44</v>
      </c>
      <c r="O307" s="11">
        <v>1879</v>
      </c>
      <c r="P307" s="85">
        <v>1.7693032015065913</v>
      </c>
      <c r="Q307" s="11">
        <v>1879</v>
      </c>
      <c r="R307" s="85">
        <v>1.7693032015065913</v>
      </c>
      <c r="S307" s="29" t="s">
        <v>2002</v>
      </c>
      <c r="T307" s="29" t="s">
        <v>2033</v>
      </c>
    </row>
    <row r="308">
      <c r="B308" s="29" t="s">
        <v>1217</v>
      </c>
      <c r="C308" s="29" t="s">
        <v>1243</v>
      </c>
      <c r="D308" s="8" t="s">
        <v>1260</v>
      </c>
      <c r="E308" s="10" t="s">
        <v>1626</v>
      </c>
      <c r="F308" s="10"/>
      <c r="G308" s="10">
        <v>3</v>
      </c>
      <c r="H308" s="10">
        <v>1</v>
      </c>
      <c r="I308" s="10">
        <v>1</v>
      </c>
      <c r="J308" s="10">
        <v>1062</v>
      </c>
      <c r="K308" s="104">
        <v>45712</v>
      </c>
      <c r="L308" s="104">
        <v>45713</v>
      </c>
      <c r="M308" s="10" t="b">
        <v>0</v>
      </c>
      <c r="N308" s="10">
        <v>2</v>
      </c>
      <c r="O308" s="11">
        <v>1879</v>
      </c>
      <c r="P308" s="85">
        <v>1.7693032015065913</v>
      </c>
      <c r="Q308" s="11">
        <v>1879</v>
      </c>
      <c r="R308" s="85">
        <v>1.7693032015065913</v>
      </c>
      <c r="S308" s="29" t="s">
        <v>2002</v>
      </c>
      <c r="T308" s="29" t="s">
        <v>2033</v>
      </c>
    </row>
    <row r="309">
      <c r="B309" s="29" t="s">
        <v>1218</v>
      </c>
      <c r="C309" s="29" t="s">
        <v>1244</v>
      </c>
      <c r="D309" s="8" t="s">
        <v>13</v>
      </c>
      <c r="E309" s="10" t="s">
        <v>1627</v>
      </c>
      <c r="F309" s="10">
        <v>3</v>
      </c>
      <c r="G309" s="10">
        <v>0</v>
      </c>
      <c r="H309" s="10">
        <v>1</v>
      </c>
      <c r="I309" s="10"/>
      <c r="J309" s="10">
        <v>347</v>
      </c>
      <c r="K309" s="104">
        <v>45418</v>
      </c>
      <c r="L309" s="104">
        <v>45469</v>
      </c>
      <c r="M309" s="10" t="b">
        <v>0</v>
      </c>
      <c r="N309" s="10">
        <v>52</v>
      </c>
      <c r="O309" s="11">
        <v>1077</v>
      </c>
      <c r="P309" s="85">
        <v>3.1037463976945245</v>
      </c>
      <c r="Q309" s="11">
        <v>1077</v>
      </c>
      <c r="R309" s="85">
        <v>3.1037463976945245</v>
      </c>
      <c r="S309" s="29" t="s">
        <v>1998</v>
      </c>
      <c r="T309" s="29" t="s">
        <v>1998</v>
      </c>
    </row>
    <row r="310">
      <c r="B310" s="29" t="s">
        <v>1218</v>
      </c>
      <c r="C310" s="29" t="s">
        <v>1244</v>
      </c>
      <c r="D310" s="8" t="s">
        <v>1261</v>
      </c>
      <c r="E310" s="10" t="s">
        <v>1628</v>
      </c>
      <c r="F310" s="10">
        <v>4</v>
      </c>
      <c r="G310" s="10">
        <v>0</v>
      </c>
      <c r="H310" s="10">
        <v>1</v>
      </c>
      <c r="I310" s="10"/>
      <c r="J310" s="10">
        <v>347</v>
      </c>
      <c r="K310" s="104">
        <v>45688</v>
      </c>
      <c r="L310" s="104">
        <v>45759</v>
      </c>
      <c r="M310" s="10" t="b">
        <v>0</v>
      </c>
      <c r="N310" s="10">
        <v>72</v>
      </c>
      <c r="O310" s="11">
        <v>1099</v>
      </c>
      <c r="P310" s="85">
        <v>3.1671469740634004</v>
      </c>
      <c r="Q310" s="11">
        <v>1099</v>
      </c>
      <c r="R310" s="85">
        <v>3.1671469740634004</v>
      </c>
      <c r="S310" s="29" t="s">
        <v>1998</v>
      </c>
      <c r="T310" s="29" t="s">
        <v>1998</v>
      </c>
    </row>
    <row r="311">
      <c r="B311" s="29" t="s">
        <v>1218</v>
      </c>
      <c r="C311" s="29" t="s">
        <v>1244</v>
      </c>
      <c r="D311" s="8" t="s">
        <v>13</v>
      </c>
      <c r="E311" s="10" t="s">
        <v>1629</v>
      </c>
      <c r="F311" s="10">
        <v>3</v>
      </c>
      <c r="G311" s="10">
        <v>0</v>
      </c>
      <c r="H311" s="10">
        <v>1</v>
      </c>
      <c r="I311" s="10"/>
      <c r="J311" s="10">
        <v>347</v>
      </c>
      <c r="K311" s="104">
        <v>45650</v>
      </c>
      <c r="L311" s="104">
        <v>45710</v>
      </c>
      <c r="M311" s="10" t="b">
        <v>0</v>
      </c>
      <c r="N311" s="10">
        <v>61</v>
      </c>
      <c r="O311" s="11">
        <v>1099</v>
      </c>
      <c r="P311" s="85">
        <v>3.1671469740634004</v>
      </c>
      <c r="Q311" s="11">
        <v>1099</v>
      </c>
      <c r="R311" s="85">
        <v>3.1671469740634004</v>
      </c>
      <c r="S311" s="29" t="s">
        <v>1998</v>
      </c>
      <c r="T311" s="29" t="s">
        <v>1998</v>
      </c>
    </row>
    <row r="312">
      <c r="B312" s="29" t="s">
        <v>1218</v>
      </c>
      <c r="C312" s="29" t="s">
        <v>1244</v>
      </c>
      <c r="D312" s="8" t="s">
        <v>13</v>
      </c>
      <c r="E312" s="10" t="s">
        <v>1630</v>
      </c>
      <c r="F312" s="10">
        <v>4</v>
      </c>
      <c r="G312" s="10">
        <v>0</v>
      </c>
      <c r="H312" s="10">
        <v>1</v>
      </c>
      <c r="I312" s="10"/>
      <c r="J312" s="10">
        <v>347</v>
      </c>
      <c r="K312" s="104">
        <v>45418</v>
      </c>
      <c r="L312" s="104">
        <v>45447</v>
      </c>
      <c r="M312" s="10" t="b">
        <v>0</v>
      </c>
      <c r="N312" s="10">
        <v>30</v>
      </c>
      <c r="O312" s="11">
        <v>1122</v>
      </c>
      <c r="P312" s="85">
        <v>3.23342939481268</v>
      </c>
      <c r="Q312" s="11">
        <v>1122</v>
      </c>
      <c r="R312" s="85">
        <v>3.23342939481268</v>
      </c>
      <c r="S312" s="29" t="s">
        <v>1998</v>
      </c>
      <c r="T312" s="29" t="s">
        <v>1998</v>
      </c>
    </row>
    <row r="313">
      <c r="B313" s="29" t="s">
        <v>1218</v>
      </c>
      <c r="C313" s="29" t="s">
        <v>1244</v>
      </c>
      <c r="D313" s="8" t="s">
        <v>13</v>
      </c>
      <c r="E313" s="10" t="s">
        <v>1631</v>
      </c>
      <c r="F313" s="10">
        <v>4</v>
      </c>
      <c r="G313" s="10">
        <v>0</v>
      </c>
      <c r="H313" s="10">
        <v>1</v>
      </c>
      <c r="I313" s="10"/>
      <c r="J313" s="10">
        <v>347</v>
      </c>
      <c r="K313" s="104">
        <v>45441</v>
      </c>
      <c r="L313" s="104">
        <v>45457</v>
      </c>
      <c r="M313" s="10" t="b">
        <v>0</v>
      </c>
      <c r="N313" s="10">
        <v>17</v>
      </c>
      <c r="O313" s="11">
        <v>1137</v>
      </c>
      <c r="P313" s="85">
        <v>3.276657060518732</v>
      </c>
      <c r="Q313" s="11">
        <v>1137</v>
      </c>
      <c r="R313" s="85">
        <v>3.276657060518732</v>
      </c>
      <c r="S313" s="29" t="s">
        <v>1998</v>
      </c>
      <c r="T313" s="29" t="s">
        <v>1998</v>
      </c>
    </row>
    <row r="314">
      <c r="B314" s="29" t="s">
        <v>1218</v>
      </c>
      <c r="C314" s="29" t="s">
        <v>1244</v>
      </c>
      <c r="D314" s="8" t="s">
        <v>1261</v>
      </c>
      <c r="E314" s="10" t="s">
        <v>1632</v>
      </c>
      <c r="F314" s="10">
        <v>3</v>
      </c>
      <c r="G314" s="10">
        <v>0</v>
      </c>
      <c r="H314" s="10">
        <v>1</v>
      </c>
      <c r="I314" s="10"/>
      <c r="J314" s="10">
        <v>347</v>
      </c>
      <c r="K314" s="104">
        <v>45548</v>
      </c>
      <c r="L314" s="104">
        <v>45623</v>
      </c>
      <c r="M314" s="10" t="b">
        <v>0</v>
      </c>
      <c r="N314" s="10">
        <v>76</v>
      </c>
      <c r="O314" s="11">
        <v>1144</v>
      </c>
      <c r="P314" s="85">
        <v>3.2968299711815563</v>
      </c>
      <c r="Q314" s="11">
        <v>1144</v>
      </c>
      <c r="R314" s="85">
        <v>3.2968299711815563</v>
      </c>
      <c r="S314" s="29" t="s">
        <v>1998</v>
      </c>
      <c r="T314" s="29" t="s">
        <v>1998</v>
      </c>
    </row>
    <row r="315">
      <c r="B315" s="29" t="s">
        <v>1218</v>
      </c>
      <c r="C315" s="29" t="s">
        <v>1244</v>
      </c>
      <c r="D315" s="8" t="s">
        <v>13</v>
      </c>
      <c r="E315" s="10" t="s">
        <v>1633</v>
      </c>
      <c r="F315" s="10">
        <v>3</v>
      </c>
      <c r="G315" s="10">
        <v>0</v>
      </c>
      <c r="H315" s="10">
        <v>1</v>
      </c>
      <c r="I315" s="10"/>
      <c r="J315" s="10">
        <v>347</v>
      </c>
      <c r="K315" s="104">
        <v>45759</v>
      </c>
      <c r="L315" s="104"/>
      <c r="M315" s="10" t="b">
        <v>1</v>
      </c>
      <c r="N315" s="10"/>
      <c r="O315" s="11">
        <v>1144</v>
      </c>
      <c r="P315" s="85">
        <v>3.2968299711815563</v>
      </c>
      <c r="Q315" s="11">
        <v>1144</v>
      </c>
      <c r="R315" s="85">
        <v>3.2968299711815563</v>
      </c>
      <c r="S315" s="29" t="s">
        <v>1998</v>
      </c>
      <c r="T315" s="29" t="s">
        <v>1998</v>
      </c>
    </row>
    <row r="316">
      <c r="B316" s="29" t="s">
        <v>1218</v>
      </c>
      <c r="C316" s="29" t="s">
        <v>1244</v>
      </c>
      <c r="D316" s="8" t="s">
        <v>1261</v>
      </c>
      <c r="E316" s="10" t="s">
        <v>1634</v>
      </c>
      <c r="F316" s="10">
        <v>3</v>
      </c>
      <c r="G316" s="10">
        <v>0</v>
      </c>
      <c r="H316" s="10">
        <v>1</v>
      </c>
      <c r="I316" s="10"/>
      <c r="J316" s="10">
        <v>347</v>
      </c>
      <c r="K316" s="104">
        <v>45671</v>
      </c>
      <c r="L316" s="104">
        <v>45711</v>
      </c>
      <c r="M316" s="10" t="b">
        <v>0</v>
      </c>
      <c r="N316" s="10">
        <v>41</v>
      </c>
      <c r="O316" s="11">
        <v>1144</v>
      </c>
      <c r="P316" s="85">
        <v>3.2968299711815563</v>
      </c>
      <c r="Q316" s="11">
        <v>1144</v>
      </c>
      <c r="R316" s="85">
        <v>3.2968299711815563</v>
      </c>
      <c r="S316" s="29" t="s">
        <v>1998</v>
      </c>
      <c r="T316" s="29" t="s">
        <v>1998</v>
      </c>
    </row>
    <row r="317">
      <c r="B317" s="29" t="s">
        <v>1218</v>
      </c>
      <c r="C317" s="29" t="s">
        <v>1244</v>
      </c>
      <c r="D317" s="8" t="s">
        <v>1261</v>
      </c>
      <c r="E317" s="10" t="s">
        <v>1635</v>
      </c>
      <c r="F317" s="10">
        <v>4</v>
      </c>
      <c r="G317" s="10">
        <v>0</v>
      </c>
      <c r="H317" s="10">
        <v>1</v>
      </c>
      <c r="I317" s="10"/>
      <c r="J317" s="10">
        <v>347</v>
      </c>
      <c r="K317" s="104">
        <v>45640</v>
      </c>
      <c r="L317" s="104">
        <v>45693</v>
      </c>
      <c r="M317" s="10" t="b">
        <v>0</v>
      </c>
      <c r="N317" s="10">
        <v>54</v>
      </c>
      <c r="O317" s="11">
        <v>1144</v>
      </c>
      <c r="P317" s="85">
        <v>3.2968299711815563</v>
      </c>
      <c r="Q317" s="11">
        <v>1144</v>
      </c>
      <c r="R317" s="85">
        <v>3.2968299711815563</v>
      </c>
      <c r="S317" s="29" t="s">
        <v>1998</v>
      </c>
      <c r="T317" s="29" t="s">
        <v>1998</v>
      </c>
    </row>
    <row r="318">
      <c r="B318" s="29" t="s">
        <v>1218</v>
      </c>
      <c r="C318" s="29" t="s">
        <v>1244</v>
      </c>
      <c r="D318" s="8" t="s">
        <v>13</v>
      </c>
      <c r="E318" s="10" t="s">
        <v>1636</v>
      </c>
      <c r="F318" s="10">
        <v>3</v>
      </c>
      <c r="G318" s="10">
        <v>0</v>
      </c>
      <c r="H318" s="10">
        <v>1</v>
      </c>
      <c r="I318" s="10"/>
      <c r="J318" s="10">
        <v>347</v>
      </c>
      <c r="K318" s="104">
        <v>45547</v>
      </c>
      <c r="L318" s="104">
        <v>45563</v>
      </c>
      <c r="M318" s="10" t="b">
        <v>0</v>
      </c>
      <c r="N318" s="10">
        <v>17</v>
      </c>
      <c r="O318" s="11">
        <v>1144</v>
      </c>
      <c r="P318" s="85">
        <v>3.2968299711815563</v>
      </c>
      <c r="Q318" s="11">
        <v>1144</v>
      </c>
      <c r="R318" s="85">
        <v>3.2968299711815563</v>
      </c>
      <c r="S318" s="29" t="s">
        <v>1998</v>
      </c>
      <c r="T318" s="29" t="s">
        <v>1998</v>
      </c>
    </row>
    <row r="319">
      <c r="B319" s="29" t="s">
        <v>1218</v>
      </c>
      <c r="C319" s="29" t="s">
        <v>1244</v>
      </c>
      <c r="D319" s="8" t="s">
        <v>13</v>
      </c>
      <c r="E319" s="10" t="s">
        <v>1637</v>
      </c>
      <c r="F319" s="10">
        <v>4</v>
      </c>
      <c r="G319" s="10">
        <v>0</v>
      </c>
      <c r="H319" s="10">
        <v>1</v>
      </c>
      <c r="I319" s="10"/>
      <c r="J319" s="10">
        <v>347</v>
      </c>
      <c r="K319" s="104">
        <v>45581</v>
      </c>
      <c r="L319" s="104">
        <v>45582</v>
      </c>
      <c r="M319" s="10" t="b">
        <v>0</v>
      </c>
      <c r="N319" s="10">
        <v>2</v>
      </c>
      <c r="O319" s="11">
        <v>1144</v>
      </c>
      <c r="P319" s="85">
        <v>3.2968299711815563</v>
      </c>
      <c r="Q319" s="11">
        <v>1144</v>
      </c>
      <c r="R319" s="85">
        <v>3.2968299711815563</v>
      </c>
      <c r="S319" s="29" t="s">
        <v>1998</v>
      </c>
      <c r="T319" s="29" t="s">
        <v>1998</v>
      </c>
    </row>
    <row r="320">
      <c r="B320" s="29" t="s">
        <v>1218</v>
      </c>
      <c r="C320" s="29" t="s">
        <v>1244</v>
      </c>
      <c r="D320" s="8" t="s">
        <v>1261</v>
      </c>
      <c r="E320" s="10" t="s">
        <v>1638</v>
      </c>
      <c r="F320" s="10">
        <v>4</v>
      </c>
      <c r="G320" s="10">
        <v>0</v>
      </c>
      <c r="H320" s="10">
        <v>1</v>
      </c>
      <c r="I320" s="10"/>
      <c r="J320" s="10">
        <v>347</v>
      </c>
      <c r="K320" s="104">
        <v>45524</v>
      </c>
      <c r="L320" s="104">
        <v>45630</v>
      </c>
      <c r="M320" s="10" t="b">
        <v>0</v>
      </c>
      <c r="N320" s="10">
        <v>107</v>
      </c>
      <c r="O320" s="11">
        <v>1144</v>
      </c>
      <c r="P320" s="85">
        <v>3.2968299711815563</v>
      </c>
      <c r="Q320" s="11">
        <v>1144</v>
      </c>
      <c r="R320" s="85">
        <v>3.2968299711815563</v>
      </c>
      <c r="S320" s="29" t="s">
        <v>1998</v>
      </c>
      <c r="T320" s="29" t="s">
        <v>1998</v>
      </c>
    </row>
    <row r="321">
      <c r="B321" s="29" t="s">
        <v>1218</v>
      </c>
      <c r="C321" s="29" t="s">
        <v>1244</v>
      </c>
      <c r="D321" s="8" t="s">
        <v>13</v>
      </c>
      <c r="E321" s="10" t="s">
        <v>1639</v>
      </c>
      <c r="F321" s="10">
        <v>4</v>
      </c>
      <c r="G321" s="10">
        <v>0</v>
      </c>
      <c r="H321" s="10">
        <v>1</v>
      </c>
      <c r="I321" s="10"/>
      <c r="J321" s="10">
        <v>347</v>
      </c>
      <c r="K321" s="104">
        <v>45624</v>
      </c>
      <c r="L321" s="104">
        <v>45690</v>
      </c>
      <c r="M321" s="10" t="b">
        <v>0</v>
      </c>
      <c r="N321" s="10">
        <v>67</v>
      </c>
      <c r="O321" s="11">
        <v>1149</v>
      </c>
      <c r="P321" s="85">
        <v>3.3112391930835736</v>
      </c>
      <c r="Q321" s="11">
        <v>1149</v>
      </c>
      <c r="R321" s="85">
        <v>3.3112391930835736</v>
      </c>
      <c r="S321" s="29" t="s">
        <v>1998</v>
      </c>
      <c r="T321" s="29" t="s">
        <v>1998</v>
      </c>
    </row>
    <row r="322">
      <c r="B322" s="29" t="s">
        <v>1218</v>
      </c>
      <c r="C322" s="29" t="s">
        <v>1244</v>
      </c>
      <c r="D322" s="8" t="s">
        <v>1261</v>
      </c>
      <c r="E322" s="10" t="s">
        <v>1640</v>
      </c>
      <c r="F322" s="10">
        <v>4</v>
      </c>
      <c r="G322" s="10">
        <v>0</v>
      </c>
      <c r="H322" s="10">
        <v>1</v>
      </c>
      <c r="I322" s="10"/>
      <c r="J322" s="10">
        <v>347</v>
      </c>
      <c r="K322" s="104">
        <v>45422</v>
      </c>
      <c r="L322" s="104">
        <v>45668</v>
      </c>
      <c r="M322" s="10" t="b">
        <v>0</v>
      </c>
      <c r="N322" s="10">
        <v>247</v>
      </c>
      <c r="O322" s="11">
        <v>1159</v>
      </c>
      <c r="P322" s="85">
        <v>3.3400576368876083</v>
      </c>
      <c r="Q322" s="11">
        <v>1159</v>
      </c>
      <c r="R322" s="85">
        <v>3.3400576368876083</v>
      </c>
      <c r="S322" s="29" t="s">
        <v>1998</v>
      </c>
      <c r="T322" s="29" t="s">
        <v>1998</v>
      </c>
    </row>
    <row r="323">
      <c r="B323" s="29" t="s">
        <v>1218</v>
      </c>
      <c r="C323" s="29" t="s">
        <v>1244</v>
      </c>
      <c r="D323" s="8" t="s">
        <v>13</v>
      </c>
      <c r="E323" s="10" t="s">
        <v>1641</v>
      </c>
      <c r="F323" s="10">
        <v>4</v>
      </c>
      <c r="G323" s="10">
        <v>0</v>
      </c>
      <c r="H323" s="10">
        <v>1</v>
      </c>
      <c r="I323" s="10"/>
      <c r="J323" s="10">
        <v>347</v>
      </c>
      <c r="K323" s="104">
        <v>45671</v>
      </c>
      <c r="L323" s="104"/>
      <c r="M323" s="10" t="b">
        <v>1</v>
      </c>
      <c r="N323" s="10"/>
      <c r="O323" s="11">
        <v>1159</v>
      </c>
      <c r="P323" s="85">
        <v>3.3400576368876083</v>
      </c>
      <c r="Q323" s="11">
        <v>1159</v>
      </c>
      <c r="R323" s="85">
        <v>3.3400576368876083</v>
      </c>
      <c r="S323" s="29" t="s">
        <v>1998</v>
      </c>
      <c r="T323" s="29" t="s">
        <v>1998</v>
      </c>
    </row>
    <row r="324">
      <c r="B324" s="29" t="s">
        <v>1218</v>
      </c>
      <c r="C324" s="29" t="s">
        <v>1244</v>
      </c>
      <c r="D324" s="8" t="s">
        <v>1262</v>
      </c>
      <c r="E324" s="10" t="s">
        <v>1642</v>
      </c>
      <c r="F324" s="10">
        <v>3</v>
      </c>
      <c r="G324" s="10">
        <v>1</v>
      </c>
      <c r="H324" s="10">
        <v>1</v>
      </c>
      <c r="I324" s="10"/>
      <c r="J324" s="10">
        <v>613</v>
      </c>
      <c r="K324" s="104">
        <v>45784</v>
      </c>
      <c r="L324" s="104"/>
      <c r="M324" s="10" t="b">
        <v>1</v>
      </c>
      <c r="N324" s="10"/>
      <c r="O324" s="11">
        <v>1230</v>
      </c>
      <c r="P324" s="85">
        <v>2.00652528548124</v>
      </c>
      <c r="Q324" s="11">
        <v>1230</v>
      </c>
      <c r="R324" s="85">
        <v>2.00652528548124</v>
      </c>
      <c r="S324" s="29" t="s">
        <v>1998</v>
      </c>
      <c r="T324" s="29" t="s">
        <v>1998</v>
      </c>
    </row>
    <row r="325">
      <c r="B325" s="29" t="s">
        <v>1218</v>
      </c>
      <c r="C325" s="29" t="s">
        <v>1244</v>
      </c>
      <c r="D325" s="8" t="s">
        <v>1262</v>
      </c>
      <c r="E325" s="10" t="s">
        <v>1643</v>
      </c>
      <c r="F325" s="10">
        <v>3</v>
      </c>
      <c r="G325" s="10">
        <v>1</v>
      </c>
      <c r="H325" s="10">
        <v>1</v>
      </c>
      <c r="I325" s="10"/>
      <c r="J325" s="10">
        <v>613</v>
      </c>
      <c r="K325" s="104">
        <v>45536</v>
      </c>
      <c r="L325" s="104">
        <v>45569</v>
      </c>
      <c r="M325" s="10" t="b">
        <v>0</v>
      </c>
      <c r="N325" s="10">
        <v>34</v>
      </c>
      <c r="O325" s="11">
        <v>1230</v>
      </c>
      <c r="P325" s="85">
        <v>2.00652528548124</v>
      </c>
      <c r="Q325" s="11">
        <v>1230</v>
      </c>
      <c r="R325" s="85">
        <v>2.00652528548124</v>
      </c>
      <c r="S325" s="29" t="s">
        <v>1998</v>
      </c>
      <c r="T325" s="29" t="s">
        <v>1998</v>
      </c>
    </row>
    <row r="326">
      <c r="B326" s="29" t="s">
        <v>1218</v>
      </c>
      <c r="C326" s="29" t="s">
        <v>1244</v>
      </c>
      <c r="D326" s="8" t="s">
        <v>1262</v>
      </c>
      <c r="E326" s="10" t="s">
        <v>1644</v>
      </c>
      <c r="F326" s="10">
        <v>4</v>
      </c>
      <c r="G326" s="10">
        <v>1</v>
      </c>
      <c r="H326" s="10">
        <v>1</v>
      </c>
      <c r="I326" s="10"/>
      <c r="J326" s="10">
        <v>613</v>
      </c>
      <c r="K326" s="104">
        <v>45418</v>
      </c>
      <c r="L326" s="104">
        <v>45441</v>
      </c>
      <c r="M326" s="10" t="b">
        <v>0</v>
      </c>
      <c r="N326" s="10">
        <v>24</v>
      </c>
      <c r="O326" s="11">
        <v>1230</v>
      </c>
      <c r="P326" s="85">
        <v>2.00652528548124</v>
      </c>
      <c r="Q326" s="11">
        <v>1230</v>
      </c>
      <c r="R326" s="85">
        <v>2.00652528548124</v>
      </c>
      <c r="S326" s="29" t="s">
        <v>1998</v>
      </c>
      <c r="T326" s="29" t="s">
        <v>1998</v>
      </c>
    </row>
    <row r="327">
      <c r="B327" s="29" t="s">
        <v>1218</v>
      </c>
      <c r="C327" s="29" t="s">
        <v>1244</v>
      </c>
      <c r="D327" s="8" t="s">
        <v>1262</v>
      </c>
      <c r="E327" s="10" t="s">
        <v>1645</v>
      </c>
      <c r="F327" s="10">
        <v>4</v>
      </c>
      <c r="G327" s="10">
        <v>1</v>
      </c>
      <c r="H327" s="10">
        <v>1</v>
      </c>
      <c r="I327" s="10"/>
      <c r="J327" s="10">
        <v>613</v>
      </c>
      <c r="K327" s="104">
        <v>45756</v>
      </c>
      <c r="L327" s="104">
        <v>45776</v>
      </c>
      <c r="M327" s="10" t="b">
        <v>0</v>
      </c>
      <c r="N327" s="10">
        <v>21</v>
      </c>
      <c r="O327" s="11">
        <v>1230</v>
      </c>
      <c r="P327" s="85">
        <v>2.00652528548124</v>
      </c>
      <c r="Q327" s="11">
        <v>1230</v>
      </c>
      <c r="R327" s="85">
        <v>2.00652528548124</v>
      </c>
      <c r="S327" s="29" t="s">
        <v>1998</v>
      </c>
      <c r="T327" s="29" t="s">
        <v>1998</v>
      </c>
    </row>
    <row r="328">
      <c r="B328" s="29" t="s">
        <v>1218</v>
      </c>
      <c r="C328" s="29" t="s">
        <v>1244</v>
      </c>
      <c r="D328" s="8" t="s">
        <v>1262</v>
      </c>
      <c r="E328" s="10" t="s">
        <v>1646</v>
      </c>
      <c r="F328" s="10">
        <v>4</v>
      </c>
      <c r="G328" s="10">
        <v>1</v>
      </c>
      <c r="H328" s="10">
        <v>1</v>
      </c>
      <c r="I328" s="10"/>
      <c r="J328" s="10">
        <v>613</v>
      </c>
      <c r="K328" s="104">
        <v>45732</v>
      </c>
      <c r="L328" s="104">
        <v>45783</v>
      </c>
      <c r="M328" s="10" t="b">
        <v>0</v>
      </c>
      <c r="N328" s="10">
        <v>52</v>
      </c>
      <c r="O328" s="11">
        <v>1240</v>
      </c>
      <c r="P328" s="85">
        <v>2.0228384991843393</v>
      </c>
      <c r="Q328" s="11">
        <v>1240</v>
      </c>
      <c r="R328" s="85">
        <v>2.0228384991843393</v>
      </c>
      <c r="S328" s="29" t="s">
        <v>1998</v>
      </c>
      <c r="T328" s="29" t="s">
        <v>1998</v>
      </c>
    </row>
    <row r="329">
      <c r="B329" s="29" t="s">
        <v>1218</v>
      </c>
      <c r="C329" s="29" t="s">
        <v>1244</v>
      </c>
      <c r="D329" s="8" t="s">
        <v>1262</v>
      </c>
      <c r="E329" s="10" t="s">
        <v>1647</v>
      </c>
      <c r="F329" s="10">
        <v>3</v>
      </c>
      <c r="G329" s="10">
        <v>1</v>
      </c>
      <c r="H329" s="10">
        <v>1</v>
      </c>
      <c r="I329" s="10"/>
      <c r="J329" s="10">
        <v>613</v>
      </c>
      <c r="K329" s="104">
        <v>45650</v>
      </c>
      <c r="L329" s="104">
        <v>45671</v>
      </c>
      <c r="M329" s="10" t="b">
        <v>0</v>
      </c>
      <c r="N329" s="10">
        <v>22</v>
      </c>
      <c r="O329" s="11">
        <v>1240</v>
      </c>
      <c r="P329" s="85">
        <v>2.0228384991843393</v>
      </c>
      <c r="Q329" s="11">
        <v>1240</v>
      </c>
      <c r="R329" s="85">
        <v>2.0228384991843393</v>
      </c>
      <c r="S329" s="29" t="s">
        <v>1998</v>
      </c>
      <c r="T329" s="29" t="s">
        <v>1998</v>
      </c>
    </row>
    <row r="330">
      <c r="B330" s="29" t="s">
        <v>1218</v>
      </c>
      <c r="C330" s="29" t="s">
        <v>1244</v>
      </c>
      <c r="D330" s="8" t="s">
        <v>1262</v>
      </c>
      <c r="E330" s="10" t="s">
        <v>1648</v>
      </c>
      <c r="F330" s="10">
        <v>4</v>
      </c>
      <c r="G330" s="10">
        <v>1</v>
      </c>
      <c r="H330" s="10">
        <v>1</v>
      </c>
      <c r="I330" s="10"/>
      <c r="J330" s="10">
        <v>613</v>
      </c>
      <c r="K330" s="104">
        <v>45448</v>
      </c>
      <c r="L330" s="104">
        <v>45510</v>
      </c>
      <c r="M330" s="10" t="b">
        <v>0</v>
      </c>
      <c r="N330" s="10">
        <v>63</v>
      </c>
      <c r="O330" s="11">
        <v>1240</v>
      </c>
      <c r="P330" s="85">
        <v>2.0228384991843393</v>
      </c>
      <c r="Q330" s="11">
        <v>1240</v>
      </c>
      <c r="R330" s="85">
        <v>2.0228384991843393</v>
      </c>
      <c r="S330" s="29" t="s">
        <v>1998</v>
      </c>
      <c r="T330" s="29" t="s">
        <v>1998</v>
      </c>
    </row>
    <row r="331">
      <c r="B331" s="29" t="s">
        <v>1218</v>
      </c>
      <c r="C331" s="29" t="s">
        <v>1244</v>
      </c>
      <c r="D331" s="8" t="s">
        <v>1262</v>
      </c>
      <c r="E331" s="10" t="s">
        <v>1649</v>
      </c>
      <c r="F331" s="10">
        <v>4</v>
      </c>
      <c r="G331" s="10">
        <v>1</v>
      </c>
      <c r="H331" s="10">
        <v>1</v>
      </c>
      <c r="I331" s="10"/>
      <c r="J331" s="10">
        <v>613</v>
      </c>
      <c r="K331" s="104">
        <v>45784</v>
      </c>
      <c r="L331" s="104"/>
      <c r="M331" s="10" t="b">
        <v>1</v>
      </c>
      <c r="N331" s="10"/>
      <c r="O331" s="11">
        <v>1240</v>
      </c>
      <c r="P331" s="85">
        <v>2.0228384991843393</v>
      </c>
      <c r="Q331" s="11">
        <v>1240</v>
      </c>
      <c r="R331" s="85">
        <v>2.0228384991843393</v>
      </c>
      <c r="S331" s="29" t="s">
        <v>1998</v>
      </c>
      <c r="T331" s="29" t="s">
        <v>1998</v>
      </c>
    </row>
    <row r="332">
      <c r="B332" s="29" t="s">
        <v>1218</v>
      </c>
      <c r="C332" s="29" t="s">
        <v>1244</v>
      </c>
      <c r="D332" s="8" t="s">
        <v>1262</v>
      </c>
      <c r="E332" s="10" t="s">
        <v>1650</v>
      </c>
      <c r="F332" s="10">
        <v>4</v>
      </c>
      <c r="G332" s="10">
        <v>1</v>
      </c>
      <c r="H332" s="10">
        <v>1</v>
      </c>
      <c r="I332" s="10"/>
      <c r="J332" s="10">
        <v>613</v>
      </c>
      <c r="K332" s="104">
        <v>45451</v>
      </c>
      <c r="L332" s="104">
        <v>45457</v>
      </c>
      <c r="M332" s="10" t="b">
        <v>0</v>
      </c>
      <c r="N332" s="10">
        <v>7</v>
      </c>
      <c r="O332" s="11">
        <v>1250</v>
      </c>
      <c r="P332" s="85">
        <v>2.039151712887439</v>
      </c>
      <c r="Q332" s="11">
        <v>1250</v>
      </c>
      <c r="R332" s="85">
        <v>2.039151712887439</v>
      </c>
      <c r="S332" s="29" t="s">
        <v>1998</v>
      </c>
      <c r="T332" s="29" t="s">
        <v>1998</v>
      </c>
    </row>
    <row r="333">
      <c r="B333" s="29" t="s">
        <v>1218</v>
      </c>
      <c r="C333" s="29" t="s">
        <v>1244</v>
      </c>
      <c r="D333" s="8" t="s">
        <v>1262</v>
      </c>
      <c r="E333" s="10" t="s">
        <v>1651</v>
      </c>
      <c r="F333" s="10">
        <v>4</v>
      </c>
      <c r="G333" s="10">
        <v>1</v>
      </c>
      <c r="H333" s="10">
        <v>1</v>
      </c>
      <c r="I333" s="10"/>
      <c r="J333" s="10">
        <v>613</v>
      </c>
      <c r="K333" s="104">
        <v>45428</v>
      </c>
      <c r="L333" s="104">
        <v>45482</v>
      </c>
      <c r="M333" s="10" t="b">
        <v>0</v>
      </c>
      <c r="N333" s="10">
        <v>55</v>
      </c>
      <c r="O333" s="11">
        <v>1260</v>
      </c>
      <c r="P333" s="85">
        <v>2.0554649265905383</v>
      </c>
      <c r="Q333" s="11">
        <v>1260</v>
      </c>
      <c r="R333" s="85">
        <v>2.0554649265905383</v>
      </c>
      <c r="S333" s="29" t="s">
        <v>1998</v>
      </c>
      <c r="T333" s="29" t="s">
        <v>1998</v>
      </c>
    </row>
    <row r="334">
      <c r="B334" s="29" t="s">
        <v>1218</v>
      </c>
      <c r="C334" s="29" t="s">
        <v>1244</v>
      </c>
      <c r="D334" s="8" t="s">
        <v>1262</v>
      </c>
      <c r="E334" s="10" t="s">
        <v>1652</v>
      </c>
      <c r="F334" s="10">
        <v>4</v>
      </c>
      <c r="G334" s="10">
        <v>1</v>
      </c>
      <c r="H334" s="10">
        <v>1</v>
      </c>
      <c r="I334" s="10"/>
      <c r="J334" s="10">
        <v>613</v>
      </c>
      <c r="K334" s="104">
        <v>45758</v>
      </c>
      <c r="L334" s="104">
        <v>45782</v>
      </c>
      <c r="M334" s="10" t="b">
        <v>0</v>
      </c>
      <c r="N334" s="10">
        <v>25</v>
      </c>
      <c r="O334" s="11">
        <v>1265</v>
      </c>
      <c r="P334" s="85">
        <v>2.063621533442088</v>
      </c>
      <c r="Q334" s="11">
        <v>1265</v>
      </c>
      <c r="R334" s="85">
        <v>2.063621533442088</v>
      </c>
      <c r="S334" s="29" t="s">
        <v>1998</v>
      </c>
      <c r="T334" s="29" t="s">
        <v>1998</v>
      </c>
    </row>
    <row r="335">
      <c r="B335" s="29" t="s">
        <v>1218</v>
      </c>
      <c r="C335" s="29" t="s">
        <v>1244</v>
      </c>
      <c r="D335" s="8" t="s">
        <v>1262</v>
      </c>
      <c r="E335" s="10" t="s">
        <v>1653</v>
      </c>
      <c r="F335" s="10">
        <v>4</v>
      </c>
      <c r="G335" s="10">
        <v>1</v>
      </c>
      <c r="H335" s="10">
        <v>1</v>
      </c>
      <c r="I335" s="10"/>
      <c r="J335" s="10">
        <v>613</v>
      </c>
      <c r="K335" s="104">
        <v>45428</v>
      </c>
      <c r="L335" s="104">
        <v>45452</v>
      </c>
      <c r="M335" s="10" t="b">
        <v>0</v>
      </c>
      <c r="N335" s="10">
        <v>25</v>
      </c>
      <c r="O335" s="11">
        <v>1270</v>
      </c>
      <c r="P335" s="85">
        <v>2.0717781402936377</v>
      </c>
      <c r="Q335" s="11">
        <v>1270</v>
      </c>
      <c r="R335" s="85">
        <v>2.0717781402936377</v>
      </c>
      <c r="S335" s="29" t="s">
        <v>1998</v>
      </c>
      <c r="T335" s="29" t="s">
        <v>1998</v>
      </c>
    </row>
    <row r="336">
      <c r="B336" s="29" t="s">
        <v>1218</v>
      </c>
      <c r="C336" s="29" t="s">
        <v>1244</v>
      </c>
      <c r="D336" s="8" t="s">
        <v>1262</v>
      </c>
      <c r="E336" s="10" t="s">
        <v>1654</v>
      </c>
      <c r="F336" s="10">
        <v>3</v>
      </c>
      <c r="G336" s="10">
        <v>1</v>
      </c>
      <c r="H336" s="10">
        <v>1</v>
      </c>
      <c r="I336" s="10"/>
      <c r="J336" s="10">
        <v>613</v>
      </c>
      <c r="K336" s="104">
        <v>45418</v>
      </c>
      <c r="L336" s="104">
        <v>45424</v>
      </c>
      <c r="M336" s="10" t="b">
        <v>0</v>
      </c>
      <c r="N336" s="10">
        <v>7</v>
      </c>
      <c r="O336" s="11">
        <v>1270</v>
      </c>
      <c r="P336" s="85">
        <v>2.0717781402936377</v>
      </c>
      <c r="Q336" s="11">
        <v>1270</v>
      </c>
      <c r="R336" s="85">
        <v>2.0717781402936377</v>
      </c>
      <c r="S336" s="29" t="s">
        <v>1998</v>
      </c>
      <c r="T336" s="29" t="s">
        <v>1998</v>
      </c>
    </row>
    <row r="337">
      <c r="B337" s="29" t="s">
        <v>1218</v>
      </c>
      <c r="C337" s="29" t="s">
        <v>1244</v>
      </c>
      <c r="D337" s="8" t="s">
        <v>1262</v>
      </c>
      <c r="E337" s="10" t="s">
        <v>1655</v>
      </c>
      <c r="F337" s="10">
        <v>3</v>
      </c>
      <c r="G337" s="10">
        <v>1</v>
      </c>
      <c r="H337" s="10">
        <v>1</v>
      </c>
      <c r="I337" s="10"/>
      <c r="J337" s="10">
        <v>613</v>
      </c>
      <c r="K337" s="104">
        <v>45687</v>
      </c>
      <c r="L337" s="104">
        <v>45716</v>
      </c>
      <c r="M337" s="10" t="b">
        <v>0</v>
      </c>
      <c r="N337" s="10">
        <v>30</v>
      </c>
      <c r="O337" s="11">
        <v>1275</v>
      </c>
      <c r="P337" s="85">
        <v>2.0799347471451877</v>
      </c>
      <c r="Q337" s="11">
        <v>1275</v>
      </c>
      <c r="R337" s="85">
        <v>2.0799347471451877</v>
      </c>
      <c r="S337" s="29" t="s">
        <v>2008</v>
      </c>
      <c r="T337" s="29" t="s">
        <v>2035</v>
      </c>
    </row>
    <row r="338">
      <c r="B338" s="29" t="s">
        <v>1218</v>
      </c>
      <c r="C338" s="29" t="s">
        <v>1244</v>
      </c>
      <c r="D338" s="8" t="s">
        <v>1262</v>
      </c>
      <c r="E338" s="10" t="s">
        <v>1656</v>
      </c>
      <c r="F338" s="10">
        <v>4</v>
      </c>
      <c r="G338" s="10">
        <v>1</v>
      </c>
      <c r="H338" s="10">
        <v>1</v>
      </c>
      <c r="I338" s="10"/>
      <c r="J338" s="10">
        <v>613</v>
      </c>
      <c r="K338" s="104">
        <v>45777</v>
      </c>
      <c r="L338" s="104">
        <v>45784</v>
      </c>
      <c r="M338" s="10" t="b">
        <v>0</v>
      </c>
      <c r="N338" s="10">
        <v>8</v>
      </c>
      <c r="O338" s="11">
        <v>1275</v>
      </c>
      <c r="P338" s="85">
        <v>2.0799347471451877</v>
      </c>
      <c r="Q338" s="11">
        <v>1275</v>
      </c>
      <c r="R338" s="85">
        <v>2.0799347471451877</v>
      </c>
      <c r="S338" s="29" t="s">
        <v>1998</v>
      </c>
      <c r="T338" s="29" t="s">
        <v>1998</v>
      </c>
    </row>
    <row r="339">
      <c r="B339" s="29" t="s">
        <v>1218</v>
      </c>
      <c r="C339" s="29" t="s">
        <v>1244</v>
      </c>
      <c r="D339" s="8" t="s">
        <v>1262</v>
      </c>
      <c r="E339" s="10" t="s">
        <v>1657</v>
      </c>
      <c r="F339" s="10">
        <v>3</v>
      </c>
      <c r="G339" s="10">
        <v>1</v>
      </c>
      <c r="H339" s="10">
        <v>1</v>
      </c>
      <c r="I339" s="10"/>
      <c r="J339" s="10">
        <v>613</v>
      </c>
      <c r="K339" s="104">
        <v>45483</v>
      </c>
      <c r="L339" s="104">
        <v>45507</v>
      </c>
      <c r="M339" s="10" t="b">
        <v>0</v>
      </c>
      <c r="N339" s="10">
        <v>25</v>
      </c>
      <c r="O339" s="11">
        <v>1275</v>
      </c>
      <c r="P339" s="85">
        <v>2.0799347471451877</v>
      </c>
      <c r="Q339" s="11">
        <v>1275</v>
      </c>
      <c r="R339" s="85">
        <v>2.0799347471451877</v>
      </c>
      <c r="S339" s="29" t="s">
        <v>1998</v>
      </c>
      <c r="T339" s="29" t="s">
        <v>1998</v>
      </c>
    </row>
    <row r="340">
      <c r="B340" s="29" t="s">
        <v>1218</v>
      </c>
      <c r="C340" s="29" t="s">
        <v>1244</v>
      </c>
      <c r="D340" s="8" t="s">
        <v>1262</v>
      </c>
      <c r="E340" s="10" t="s">
        <v>1658</v>
      </c>
      <c r="F340" s="10">
        <v>4</v>
      </c>
      <c r="G340" s="10">
        <v>1</v>
      </c>
      <c r="H340" s="10">
        <v>1</v>
      </c>
      <c r="I340" s="10"/>
      <c r="J340" s="10">
        <v>613</v>
      </c>
      <c r="K340" s="104">
        <v>45506</v>
      </c>
      <c r="L340" s="104">
        <v>45623</v>
      </c>
      <c r="M340" s="10" t="b">
        <v>0</v>
      </c>
      <c r="N340" s="10">
        <v>118</v>
      </c>
      <c r="O340" s="11">
        <v>1285</v>
      </c>
      <c r="P340" s="85">
        <v>2.096247960848287</v>
      </c>
      <c r="Q340" s="11">
        <v>1285</v>
      </c>
      <c r="R340" s="85">
        <v>2.096247960848287</v>
      </c>
      <c r="S340" s="29" t="s">
        <v>1998</v>
      </c>
      <c r="T340" s="29" t="s">
        <v>1998</v>
      </c>
    </row>
    <row r="341">
      <c r="B341" s="29" t="s">
        <v>1218</v>
      </c>
      <c r="C341" s="29" t="s">
        <v>1244</v>
      </c>
      <c r="D341" s="8" t="s">
        <v>1262</v>
      </c>
      <c r="E341" s="10" t="s">
        <v>1659</v>
      </c>
      <c r="F341" s="10">
        <v>4</v>
      </c>
      <c r="G341" s="10">
        <v>1</v>
      </c>
      <c r="H341" s="10">
        <v>1</v>
      </c>
      <c r="I341" s="10"/>
      <c r="J341" s="10">
        <v>613</v>
      </c>
      <c r="K341" s="104">
        <v>45454</v>
      </c>
      <c r="L341" s="104">
        <v>45505</v>
      </c>
      <c r="M341" s="10" t="b">
        <v>0</v>
      </c>
      <c r="N341" s="10">
        <v>52</v>
      </c>
      <c r="O341" s="11">
        <v>1285</v>
      </c>
      <c r="P341" s="85">
        <v>2.096247960848287</v>
      </c>
      <c r="Q341" s="11">
        <v>1285</v>
      </c>
      <c r="R341" s="85">
        <v>2.096247960848287</v>
      </c>
      <c r="S341" s="29" t="s">
        <v>1998</v>
      </c>
      <c r="T341" s="29" t="s">
        <v>1998</v>
      </c>
    </row>
    <row r="342">
      <c r="B342" s="29" t="s">
        <v>1218</v>
      </c>
      <c r="C342" s="29" t="s">
        <v>1244</v>
      </c>
      <c r="D342" s="8" t="s">
        <v>1262</v>
      </c>
      <c r="E342" s="10" t="s">
        <v>1660</v>
      </c>
      <c r="F342" s="10">
        <v>4</v>
      </c>
      <c r="G342" s="10">
        <v>1</v>
      </c>
      <c r="H342" s="10">
        <v>1</v>
      </c>
      <c r="I342" s="10"/>
      <c r="J342" s="10">
        <v>613</v>
      </c>
      <c r="K342" s="104">
        <v>45547</v>
      </c>
      <c r="L342" s="104">
        <v>45579</v>
      </c>
      <c r="M342" s="10" t="b">
        <v>0</v>
      </c>
      <c r="N342" s="10">
        <v>33</v>
      </c>
      <c r="O342" s="11">
        <v>1285</v>
      </c>
      <c r="P342" s="85">
        <v>2.096247960848287</v>
      </c>
      <c r="Q342" s="11">
        <v>1285</v>
      </c>
      <c r="R342" s="85">
        <v>2.096247960848287</v>
      </c>
      <c r="S342" s="29" t="s">
        <v>1998</v>
      </c>
      <c r="T342" s="29" t="s">
        <v>1998</v>
      </c>
    </row>
    <row r="343">
      <c r="B343" s="29" t="s">
        <v>1218</v>
      </c>
      <c r="C343" s="29" t="s">
        <v>1244</v>
      </c>
      <c r="D343" s="8" t="s">
        <v>1262</v>
      </c>
      <c r="E343" s="10" t="s">
        <v>1661</v>
      </c>
      <c r="F343" s="10">
        <v>3</v>
      </c>
      <c r="G343" s="10">
        <v>1</v>
      </c>
      <c r="H343" s="10">
        <v>1</v>
      </c>
      <c r="I343" s="10"/>
      <c r="J343" s="10">
        <v>613</v>
      </c>
      <c r="K343" s="104">
        <v>45541</v>
      </c>
      <c r="L343" s="104">
        <v>45636</v>
      </c>
      <c r="M343" s="10" t="b">
        <v>0</v>
      </c>
      <c r="N343" s="10">
        <v>96</v>
      </c>
      <c r="O343" s="11">
        <v>1290</v>
      </c>
      <c r="P343" s="85">
        <v>2.104404567699837</v>
      </c>
      <c r="Q343" s="11">
        <v>1290</v>
      </c>
      <c r="R343" s="85">
        <v>2.104404567699837</v>
      </c>
      <c r="S343" s="29" t="s">
        <v>1998</v>
      </c>
      <c r="T343" s="29" t="s">
        <v>1998</v>
      </c>
    </row>
    <row r="344">
      <c r="B344" s="29" t="s">
        <v>1218</v>
      </c>
      <c r="C344" s="29" t="s">
        <v>1244</v>
      </c>
      <c r="D344" s="8" t="s">
        <v>1262</v>
      </c>
      <c r="E344" s="10" t="s">
        <v>1662</v>
      </c>
      <c r="F344" s="10">
        <v>4</v>
      </c>
      <c r="G344" s="10">
        <v>1</v>
      </c>
      <c r="H344" s="10">
        <v>1</v>
      </c>
      <c r="I344" s="10"/>
      <c r="J344" s="10">
        <v>613</v>
      </c>
      <c r="K344" s="104">
        <v>45743</v>
      </c>
      <c r="L344" s="104">
        <v>45763</v>
      </c>
      <c r="M344" s="10" t="b">
        <v>0</v>
      </c>
      <c r="N344" s="10">
        <v>21</v>
      </c>
      <c r="O344" s="11">
        <v>1295</v>
      </c>
      <c r="P344" s="85">
        <v>2.1125611745513866</v>
      </c>
      <c r="Q344" s="11">
        <v>1295</v>
      </c>
      <c r="R344" s="85">
        <v>2.1125611745513866</v>
      </c>
      <c r="S344" s="29" t="s">
        <v>1998</v>
      </c>
      <c r="T344" s="29" t="s">
        <v>1998</v>
      </c>
    </row>
    <row r="345">
      <c r="B345" s="29" t="s">
        <v>1218</v>
      </c>
      <c r="C345" s="29" t="s">
        <v>1244</v>
      </c>
      <c r="D345" s="8" t="s">
        <v>1262</v>
      </c>
      <c r="E345" s="10" t="s">
        <v>1663</v>
      </c>
      <c r="F345" s="10">
        <v>4</v>
      </c>
      <c r="G345" s="10">
        <v>1</v>
      </c>
      <c r="H345" s="10">
        <v>1</v>
      </c>
      <c r="I345" s="10"/>
      <c r="J345" s="10">
        <v>613</v>
      </c>
      <c r="K345" s="104">
        <v>45650</v>
      </c>
      <c r="L345" s="104">
        <v>45655</v>
      </c>
      <c r="M345" s="10" t="b">
        <v>0</v>
      </c>
      <c r="N345" s="10">
        <v>6</v>
      </c>
      <c r="O345" s="11">
        <v>1295</v>
      </c>
      <c r="P345" s="85">
        <v>2.1125611745513866</v>
      </c>
      <c r="Q345" s="11">
        <v>1295</v>
      </c>
      <c r="R345" s="85">
        <v>2.1125611745513866</v>
      </c>
      <c r="S345" s="29" t="s">
        <v>1998</v>
      </c>
      <c r="T345" s="29" t="s">
        <v>1998</v>
      </c>
    </row>
    <row r="346">
      <c r="B346" s="29" t="s">
        <v>1218</v>
      </c>
      <c r="C346" s="29" t="s">
        <v>1244</v>
      </c>
      <c r="D346" s="8" t="s">
        <v>1262</v>
      </c>
      <c r="E346" s="10" t="s">
        <v>1664</v>
      </c>
      <c r="F346" s="10">
        <v>4</v>
      </c>
      <c r="G346" s="10">
        <v>1</v>
      </c>
      <c r="H346" s="10">
        <v>1</v>
      </c>
      <c r="I346" s="10"/>
      <c r="J346" s="10">
        <v>613</v>
      </c>
      <c r="K346" s="104">
        <v>45567</v>
      </c>
      <c r="L346" s="104">
        <v>45660</v>
      </c>
      <c r="M346" s="10" t="b">
        <v>0</v>
      </c>
      <c r="N346" s="10">
        <v>94</v>
      </c>
      <c r="O346" s="11">
        <v>1295</v>
      </c>
      <c r="P346" s="85">
        <v>2.1125611745513866</v>
      </c>
      <c r="Q346" s="11">
        <v>1295</v>
      </c>
      <c r="R346" s="85">
        <v>2.1125611745513866</v>
      </c>
      <c r="S346" s="29" t="s">
        <v>1998</v>
      </c>
      <c r="T346" s="29" t="s">
        <v>1998</v>
      </c>
    </row>
    <row r="347">
      <c r="B347" s="29" t="s">
        <v>1218</v>
      </c>
      <c r="C347" s="29" t="s">
        <v>1244</v>
      </c>
      <c r="D347" s="8" t="s">
        <v>1262</v>
      </c>
      <c r="E347" s="10" t="s">
        <v>1665</v>
      </c>
      <c r="F347" s="10">
        <v>4</v>
      </c>
      <c r="G347" s="10">
        <v>1</v>
      </c>
      <c r="H347" s="10">
        <v>1</v>
      </c>
      <c r="I347" s="10"/>
      <c r="J347" s="10">
        <v>613</v>
      </c>
      <c r="K347" s="104">
        <v>45490</v>
      </c>
      <c r="L347" s="104">
        <v>45532</v>
      </c>
      <c r="M347" s="10" t="b">
        <v>0</v>
      </c>
      <c r="N347" s="10">
        <v>43</v>
      </c>
      <c r="O347" s="11">
        <v>1295</v>
      </c>
      <c r="P347" s="85">
        <v>2.1125611745513866</v>
      </c>
      <c r="Q347" s="11">
        <v>1295</v>
      </c>
      <c r="R347" s="85">
        <v>2.1125611745513866</v>
      </c>
      <c r="S347" s="29" t="s">
        <v>1998</v>
      </c>
      <c r="T347" s="29" t="s">
        <v>1998</v>
      </c>
    </row>
    <row r="348">
      <c r="B348" s="29" t="s">
        <v>1218</v>
      </c>
      <c r="C348" s="29" t="s">
        <v>1244</v>
      </c>
      <c r="D348" s="8" t="s">
        <v>1262</v>
      </c>
      <c r="E348" s="10" t="s">
        <v>1666</v>
      </c>
      <c r="F348" s="10">
        <v>4</v>
      </c>
      <c r="G348" s="10">
        <v>1</v>
      </c>
      <c r="H348" s="10">
        <v>1</v>
      </c>
      <c r="I348" s="10"/>
      <c r="J348" s="10">
        <v>613</v>
      </c>
      <c r="K348" s="104">
        <v>45441</v>
      </c>
      <c r="L348" s="104">
        <v>45528</v>
      </c>
      <c r="M348" s="10" t="b">
        <v>0</v>
      </c>
      <c r="N348" s="10">
        <v>88</v>
      </c>
      <c r="O348" s="11">
        <v>1295</v>
      </c>
      <c r="P348" s="85">
        <v>2.1125611745513866</v>
      </c>
      <c r="Q348" s="11">
        <v>1295</v>
      </c>
      <c r="R348" s="85">
        <v>2.1125611745513866</v>
      </c>
      <c r="S348" s="29" t="s">
        <v>1998</v>
      </c>
      <c r="T348" s="29" t="s">
        <v>1998</v>
      </c>
    </row>
    <row r="349">
      <c r="B349" s="29" t="s">
        <v>1218</v>
      </c>
      <c r="C349" s="29" t="s">
        <v>1244</v>
      </c>
      <c r="D349" s="8" t="s">
        <v>1262</v>
      </c>
      <c r="E349" s="10" t="s">
        <v>1667</v>
      </c>
      <c r="F349" s="10">
        <v>3</v>
      </c>
      <c r="G349" s="10">
        <v>1</v>
      </c>
      <c r="H349" s="10">
        <v>1</v>
      </c>
      <c r="I349" s="10"/>
      <c r="J349" s="10">
        <v>613</v>
      </c>
      <c r="K349" s="104">
        <v>45462</v>
      </c>
      <c r="L349" s="104">
        <v>45527</v>
      </c>
      <c r="M349" s="10" t="b">
        <v>0</v>
      </c>
      <c r="N349" s="10">
        <v>66</v>
      </c>
      <c r="O349" s="11">
        <v>1295</v>
      </c>
      <c r="P349" s="85">
        <v>2.1125611745513866</v>
      </c>
      <c r="Q349" s="11">
        <v>1295</v>
      </c>
      <c r="R349" s="85">
        <v>2.1125611745513866</v>
      </c>
      <c r="S349" s="29" t="s">
        <v>2009</v>
      </c>
      <c r="T349" s="29" t="s">
        <v>2030</v>
      </c>
    </row>
    <row r="350">
      <c r="B350" s="29" t="s">
        <v>1218</v>
      </c>
      <c r="C350" s="29" t="s">
        <v>1244</v>
      </c>
      <c r="D350" s="8" t="s">
        <v>1262</v>
      </c>
      <c r="E350" s="10" t="s">
        <v>1668</v>
      </c>
      <c r="F350" s="10">
        <v>3</v>
      </c>
      <c r="G350" s="10">
        <v>1</v>
      </c>
      <c r="H350" s="10">
        <v>1</v>
      </c>
      <c r="I350" s="10"/>
      <c r="J350" s="10">
        <v>613</v>
      </c>
      <c r="K350" s="104">
        <v>45650</v>
      </c>
      <c r="L350" s="104">
        <v>45680</v>
      </c>
      <c r="M350" s="10" t="b">
        <v>0</v>
      </c>
      <c r="N350" s="10">
        <v>31</v>
      </c>
      <c r="O350" s="11">
        <v>1295</v>
      </c>
      <c r="P350" s="85">
        <v>2.1125611745513866</v>
      </c>
      <c r="Q350" s="11">
        <v>1295</v>
      </c>
      <c r="R350" s="85">
        <v>2.1125611745513866</v>
      </c>
      <c r="S350" s="29" t="s">
        <v>1998</v>
      </c>
      <c r="T350" s="29" t="s">
        <v>1998</v>
      </c>
    </row>
    <row r="351">
      <c r="B351" s="29" t="s">
        <v>1218</v>
      </c>
      <c r="C351" s="29" t="s">
        <v>1244</v>
      </c>
      <c r="D351" s="8" t="s">
        <v>1262</v>
      </c>
      <c r="E351" s="10" t="s">
        <v>1669</v>
      </c>
      <c r="F351" s="10">
        <v>3</v>
      </c>
      <c r="G351" s="10">
        <v>1</v>
      </c>
      <c r="H351" s="10">
        <v>1</v>
      </c>
      <c r="I351" s="10"/>
      <c r="J351" s="10">
        <v>613</v>
      </c>
      <c r="K351" s="104">
        <v>45784</v>
      </c>
      <c r="L351" s="104"/>
      <c r="M351" s="10" t="b">
        <v>1</v>
      </c>
      <c r="N351" s="10"/>
      <c r="O351" s="11">
        <v>1295</v>
      </c>
      <c r="P351" s="85">
        <v>2.1125611745513866</v>
      </c>
      <c r="Q351" s="11">
        <v>1295</v>
      </c>
      <c r="R351" s="85">
        <v>2.1125611745513866</v>
      </c>
      <c r="S351" s="29" t="s">
        <v>1998</v>
      </c>
      <c r="T351" s="29" t="s">
        <v>1998</v>
      </c>
    </row>
    <row r="352">
      <c r="B352" s="29" t="s">
        <v>1218</v>
      </c>
      <c r="C352" s="29" t="s">
        <v>1244</v>
      </c>
      <c r="D352" s="8" t="s">
        <v>1262</v>
      </c>
      <c r="E352" s="10" t="s">
        <v>1670</v>
      </c>
      <c r="F352" s="10">
        <v>4</v>
      </c>
      <c r="G352" s="10">
        <v>1</v>
      </c>
      <c r="H352" s="10">
        <v>1</v>
      </c>
      <c r="I352" s="10"/>
      <c r="J352" s="10">
        <v>613</v>
      </c>
      <c r="K352" s="104">
        <v>45695</v>
      </c>
      <c r="L352" s="104">
        <v>45766</v>
      </c>
      <c r="M352" s="10" t="b">
        <v>0</v>
      </c>
      <c r="N352" s="10">
        <v>72</v>
      </c>
      <c r="O352" s="11">
        <v>1295</v>
      </c>
      <c r="P352" s="85">
        <v>2.1125611745513866</v>
      </c>
      <c r="Q352" s="11">
        <v>1295</v>
      </c>
      <c r="R352" s="85">
        <v>2.1125611745513866</v>
      </c>
      <c r="S352" s="29" t="s">
        <v>2010</v>
      </c>
      <c r="T352" s="29" t="s">
        <v>2030</v>
      </c>
    </row>
    <row r="353">
      <c r="B353" s="29" t="s">
        <v>1218</v>
      </c>
      <c r="C353" s="29" t="s">
        <v>1244</v>
      </c>
      <c r="D353" s="8" t="s">
        <v>1262</v>
      </c>
      <c r="E353" s="10" t="s">
        <v>1671</v>
      </c>
      <c r="F353" s="10">
        <v>4</v>
      </c>
      <c r="G353" s="10">
        <v>1</v>
      </c>
      <c r="H353" s="10">
        <v>1</v>
      </c>
      <c r="I353" s="10"/>
      <c r="J353" s="10">
        <v>613</v>
      </c>
      <c r="K353" s="104">
        <v>45524</v>
      </c>
      <c r="L353" s="104">
        <v>45578</v>
      </c>
      <c r="M353" s="10" t="b">
        <v>0</v>
      </c>
      <c r="N353" s="10">
        <v>55</v>
      </c>
      <c r="O353" s="11">
        <v>1300</v>
      </c>
      <c r="P353" s="85">
        <v>2.1207177814029365</v>
      </c>
      <c r="Q353" s="11">
        <v>1300</v>
      </c>
      <c r="R353" s="85">
        <v>2.1207177814029365</v>
      </c>
      <c r="S353" s="29" t="s">
        <v>2010</v>
      </c>
      <c r="T353" s="29" t="s">
        <v>2030</v>
      </c>
    </row>
    <row r="354">
      <c r="B354" s="29" t="s">
        <v>1218</v>
      </c>
      <c r="C354" s="29" t="s">
        <v>1244</v>
      </c>
      <c r="D354" s="8" t="s">
        <v>1262</v>
      </c>
      <c r="E354" s="10" t="s">
        <v>1672</v>
      </c>
      <c r="F354" s="10">
        <v>4</v>
      </c>
      <c r="G354" s="10">
        <v>1</v>
      </c>
      <c r="H354" s="10">
        <v>1</v>
      </c>
      <c r="I354" s="10"/>
      <c r="J354" s="10">
        <v>613</v>
      </c>
      <c r="K354" s="104">
        <v>45426</v>
      </c>
      <c r="L354" s="104">
        <v>45548</v>
      </c>
      <c r="M354" s="10" t="b">
        <v>0</v>
      </c>
      <c r="N354" s="10">
        <v>123</v>
      </c>
      <c r="O354" s="11">
        <v>1300</v>
      </c>
      <c r="P354" s="85">
        <v>2.1207177814029365</v>
      </c>
      <c r="Q354" s="11">
        <v>1300</v>
      </c>
      <c r="R354" s="85">
        <v>2.1207177814029365</v>
      </c>
      <c r="S354" s="29" t="s">
        <v>1998</v>
      </c>
      <c r="T354" s="29" t="s">
        <v>1998</v>
      </c>
    </row>
    <row r="355">
      <c r="B355" s="29" t="s">
        <v>1218</v>
      </c>
      <c r="C355" s="29" t="s">
        <v>1244</v>
      </c>
      <c r="D355" s="8" t="s">
        <v>1262</v>
      </c>
      <c r="E355" s="10" t="s">
        <v>1673</v>
      </c>
      <c r="F355" s="10">
        <v>3</v>
      </c>
      <c r="G355" s="10">
        <v>1</v>
      </c>
      <c r="H355" s="10">
        <v>1</v>
      </c>
      <c r="I355" s="10"/>
      <c r="J355" s="10">
        <v>613</v>
      </c>
      <c r="K355" s="104">
        <v>45720</v>
      </c>
      <c r="L355" s="104">
        <v>45762</v>
      </c>
      <c r="M355" s="10" t="b">
        <v>0</v>
      </c>
      <c r="N355" s="10">
        <v>43</v>
      </c>
      <c r="O355" s="11">
        <v>1300</v>
      </c>
      <c r="P355" s="85">
        <v>2.1207177814029365</v>
      </c>
      <c r="Q355" s="11">
        <v>1300</v>
      </c>
      <c r="R355" s="85">
        <v>2.1207177814029365</v>
      </c>
      <c r="S355" s="29" t="s">
        <v>2008</v>
      </c>
      <c r="T355" s="29" t="s">
        <v>2035</v>
      </c>
    </row>
    <row r="356">
      <c r="B356" s="29" t="s">
        <v>1218</v>
      </c>
      <c r="C356" s="29" t="s">
        <v>1244</v>
      </c>
      <c r="D356" s="8" t="s">
        <v>1262</v>
      </c>
      <c r="E356" s="10" t="s">
        <v>1674</v>
      </c>
      <c r="F356" s="10">
        <v>3</v>
      </c>
      <c r="G356" s="10">
        <v>1</v>
      </c>
      <c r="H356" s="10">
        <v>1</v>
      </c>
      <c r="I356" s="10"/>
      <c r="J356" s="10">
        <v>613</v>
      </c>
      <c r="K356" s="104">
        <v>45643</v>
      </c>
      <c r="L356" s="104">
        <v>45668</v>
      </c>
      <c r="M356" s="10" t="b">
        <v>0</v>
      </c>
      <c r="N356" s="10">
        <v>26</v>
      </c>
      <c r="O356" s="11">
        <v>1300</v>
      </c>
      <c r="P356" s="85">
        <v>2.1207177814029365</v>
      </c>
      <c r="Q356" s="11">
        <v>1300</v>
      </c>
      <c r="R356" s="85">
        <v>2.1207177814029365</v>
      </c>
      <c r="S356" s="29" t="s">
        <v>1998</v>
      </c>
      <c r="T356" s="29" t="s">
        <v>1998</v>
      </c>
    </row>
    <row r="357">
      <c r="B357" s="29" t="s">
        <v>1218</v>
      </c>
      <c r="C357" s="29" t="s">
        <v>1244</v>
      </c>
      <c r="D357" s="8" t="s">
        <v>1262</v>
      </c>
      <c r="E357" s="10" t="s">
        <v>1675</v>
      </c>
      <c r="F357" s="10">
        <v>4</v>
      </c>
      <c r="G357" s="10">
        <v>1</v>
      </c>
      <c r="H357" s="10">
        <v>1</v>
      </c>
      <c r="I357" s="10"/>
      <c r="J357" s="10">
        <v>613</v>
      </c>
      <c r="K357" s="104">
        <v>45777</v>
      </c>
      <c r="L357" s="104">
        <v>45784</v>
      </c>
      <c r="M357" s="10" t="b">
        <v>0</v>
      </c>
      <c r="N357" s="10">
        <v>8</v>
      </c>
      <c r="O357" s="11">
        <v>1300</v>
      </c>
      <c r="P357" s="85">
        <v>2.1207177814029365</v>
      </c>
      <c r="Q357" s="11">
        <v>1300</v>
      </c>
      <c r="R357" s="85">
        <v>2.1207177814029365</v>
      </c>
      <c r="S357" s="29" t="s">
        <v>1998</v>
      </c>
      <c r="T357" s="29" t="s">
        <v>1998</v>
      </c>
    </row>
    <row r="358">
      <c r="B358" s="29" t="s">
        <v>1218</v>
      </c>
      <c r="C358" s="29" t="s">
        <v>1244</v>
      </c>
      <c r="D358" s="8" t="s">
        <v>1263</v>
      </c>
      <c r="E358" s="10" t="s">
        <v>1676</v>
      </c>
      <c r="F358" s="10">
        <v>3</v>
      </c>
      <c r="G358" s="10">
        <v>1</v>
      </c>
      <c r="H358" s="10">
        <v>1</v>
      </c>
      <c r="I358" s="10"/>
      <c r="J358" s="10">
        <v>704</v>
      </c>
      <c r="K358" s="104">
        <v>45536</v>
      </c>
      <c r="L358" s="104">
        <v>45568</v>
      </c>
      <c r="M358" s="10" t="b">
        <v>0</v>
      </c>
      <c r="N358" s="10">
        <v>33</v>
      </c>
      <c r="O358" s="11">
        <v>1337</v>
      </c>
      <c r="P358" s="85">
        <v>1.8991477272727273</v>
      </c>
      <c r="Q358" s="11">
        <v>1337</v>
      </c>
      <c r="R358" s="85">
        <v>1.8991477272727273</v>
      </c>
      <c r="S358" s="29" t="s">
        <v>1998</v>
      </c>
      <c r="T358" s="29" t="s">
        <v>2036</v>
      </c>
    </row>
    <row r="359">
      <c r="B359" s="29" t="s">
        <v>1218</v>
      </c>
      <c r="C359" s="29" t="s">
        <v>1244</v>
      </c>
      <c r="D359" s="8" t="s">
        <v>1263</v>
      </c>
      <c r="E359" s="10" t="s">
        <v>1677</v>
      </c>
      <c r="F359" s="10">
        <v>4</v>
      </c>
      <c r="G359" s="10">
        <v>1</v>
      </c>
      <c r="H359" s="10">
        <v>1</v>
      </c>
      <c r="I359" s="10"/>
      <c r="J359" s="10">
        <v>704</v>
      </c>
      <c r="K359" s="104">
        <v>45727</v>
      </c>
      <c r="L359" s="104">
        <v>45742</v>
      </c>
      <c r="M359" s="10" t="b">
        <v>0</v>
      </c>
      <c r="N359" s="10">
        <v>16</v>
      </c>
      <c r="O359" s="11">
        <v>1337</v>
      </c>
      <c r="P359" s="85">
        <v>1.8991477272727273</v>
      </c>
      <c r="Q359" s="11">
        <v>1337</v>
      </c>
      <c r="R359" s="85">
        <v>1.8991477272727273</v>
      </c>
      <c r="S359" s="29" t="s">
        <v>1998</v>
      </c>
      <c r="T359" s="29" t="s">
        <v>2036</v>
      </c>
    </row>
    <row r="360">
      <c r="B360" s="29" t="s">
        <v>1218</v>
      </c>
      <c r="C360" s="29" t="s">
        <v>1244</v>
      </c>
      <c r="D360" s="8" t="s">
        <v>1263</v>
      </c>
      <c r="E360" s="10" t="s">
        <v>1678</v>
      </c>
      <c r="F360" s="10">
        <v>4</v>
      </c>
      <c r="G360" s="10">
        <v>1</v>
      </c>
      <c r="H360" s="10">
        <v>1</v>
      </c>
      <c r="I360" s="10"/>
      <c r="J360" s="10">
        <v>704</v>
      </c>
      <c r="K360" s="104">
        <v>45688</v>
      </c>
      <c r="L360" s="104">
        <v>45710</v>
      </c>
      <c r="M360" s="10" t="b">
        <v>0</v>
      </c>
      <c r="N360" s="10">
        <v>23</v>
      </c>
      <c r="O360" s="11">
        <v>1372</v>
      </c>
      <c r="P360" s="85">
        <v>1.9488636363636365</v>
      </c>
      <c r="Q360" s="11">
        <v>1372</v>
      </c>
      <c r="R360" s="85">
        <v>1.9488636363636365</v>
      </c>
      <c r="S360" s="29" t="s">
        <v>2008</v>
      </c>
      <c r="T360" s="29" t="s">
        <v>2037</v>
      </c>
    </row>
    <row r="361">
      <c r="B361" s="29" t="s">
        <v>1218</v>
      </c>
      <c r="C361" s="29" t="s">
        <v>1244</v>
      </c>
      <c r="D361" s="8" t="s">
        <v>1263</v>
      </c>
      <c r="E361" s="10" t="s">
        <v>1679</v>
      </c>
      <c r="F361" s="10">
        <v>4</v>
      </c>
      <c r="G361" s="10">
        <v>1</v>
      </c>
      <c r="H361" s="10">
        <v>1</v>
      </c>
      <c r="I361" s="10"/>
      <c r="J361" s="10">
        <v>704</v>
      </c>
      <c r="K361" s="104">
        <v>45671</v>
      </c>
      <c r="L361" s="104">
        <v>45679</v>
      </c>
      <c r="M361" s="10" t="b">
        <v>0</v>
      </c>
      <c r="N361" s="10">
        <v>9</v>
      </c>
      <c r="O361" s="11">
        <v>1372</v>
      </c>
      <c r="P361" s="85">
        <v>1.9488636363636365</v>
      </c>
      <c r="Q361" s="11">
        <v>1372</v>
      </c>
      <c r="R361" s="85">
        <v>1.9488636363636365</v>
      </c>
      <c r="S361" s="29" t="s">
        <v>1998</v>
      </c>
      <c r="T361" s="29" t="s">
        <v>2036</v>
      </c>
    </row>
    <row r="362">
      <c r="B362" s="29" t="s">
        <v>1218</v>
      </c>
      <c r="C362" s="29" t="s">
        <v>1244</v>
      </c>
      <c r="D362" s="8" t="s">
        <v>1263</v>
      </c>
      <c r="E362" s="10" t="s">
        <v>1680</v>
      </c>
      <c r="F362" s="10">
        <v>4</v>
      </c>
      <c r="G362" s="10">
        <v>1</v>
      </c>
      <c r="H362" s="10">
        <v>1</v>
      </c>
      <c r="I362" s="10"/>
      <c r="J362" s="10">
        <v>704</v>
      </c>
      <c r="K362" s="104">
        <v>45769</v>
      </c>
      <c r="L362" s="104">
        <v>45771</v>
      </c>
      <c r="M362" s="10" t="b">
        <v>0</v>
      </c>
      <c r="N362" s="10">
        <v>3</v>
      </c>
      <c r="O362" s="11">
        <v>1392</v>
      </c>
      <c r="P362" s="85">
        <v>1.9772727272727273</v>
      </c>
      <c r="Q362" s="11">
        <v>1392</v>
      </c>
      <c r="R362" s="85">
        <v>1.9772727272727273</v>
      </c>
      <c r="S362" s="29" t="s">
        <v>1998</v>
      </c>
      <c r="T362" s="29" t="s">
        <v>2036</v>
      </c>
    </row>
    <row r="363">
      <c r="B363" s="29" t="s">
        <v>1218</v>
      </c>
      <c r="C363" s="29" t="s">
        <v>1244</v>
      </c>
      <c r="D363" s="8" t="s">
        <v>1263</v>
      </c>
      <c r="E363" s="10" t="s">
        <v>1681</v>
      </c>
      <c r="F363" s="10">
        <v>3</v>
      </c>
      <c r="G363" s="10">
        <v>1</v>
      </c>
      <c r="H363" s="10">
        <v>1</v>
      </c>
      <c r="I363" s="10"/>
      <c r="J363" s="10">
        <v>704</v>
      </c>
      <c r="K363" s="104">
        <v>45668</v>
      </c>
      <c r="L363" s="104">
        <v>45683</v>
      </c>
      <c r="M363" s="10" t="b">
        <v>0</v>
      </c>
      <c r="N363" s="10">
        <v>16</v>
      </c>
      <c r="O363" s="11">
        <v>1397</v>
      </c>
      <c r="P363" s="85">
        <v>1.984375</v>
      </c>
      <c r="Q363" s="11">
        <v>1397</v>
      </c>
      <c r="R363" s="85">
        <v>1.984375</v>
      </c>
      <c r="S363" s="29" t="s">
        <v>1998</v>
      </c>
      <c r="T363" s="29" t="s">
        <v>2036</v>
      </c>
    </row>
    <row r="364">
      <c r="B364" s="29" t="s">
        <v>1218</v>
      </c>
      <c r="C364" s="29" t="s">
        <v>1244</v>
      </c>
      <c r="D364" s="8" t="s">
        <v>1264</v>
      </c>
      <c r="E364" s="10" t="s">
        <v>1682</v>
      </c>
      <c r="F364" s="10">
        <v>4</v>
      </c>
      <c r="G364" s="10">
        <v>2</v>
      </c>
      <c r="H364" s="10">
        <v>1</v>
      </c>
      <c r="I364" s="10"/>
      <c r="J364" s="10">
        <v>742</v>
      </c>
      <c r="K364" s="104">
        <v>45536</v>
      </c>
      <c r="L364" s="104">
        <v>45629</v>
      </c>
      <c r="M364" s="10" t="b">
        <v>0</v>
      </c>
      <c r="N364" s="10">
        <v>94</v>
      </c>
      <c r="O364" s="11">
        <v>1404</v>
      </c>
      <c r="P364" s="85">
        <v>1.8921832884097034</v>
      </c>
      <c r="Q364" s="11">
        <v>1404</v>
      </c>
      <c r="R364" s="85">
        <v>1.8921832884097034</v>
      </c>
      <c r="S364" s="29" t="s">
        <v>1998</v>
      </c>
      <c r="T364" s="29" t="s">
        <v>1998</v>
      </c>
    </row>
    <row r="365">
      <c r="B365" s="29" t="s">
        <v>1218</v>
      </c>
      <c r="C365" s="29" t="s">
        <v>1244</v>
      </c>
      <c r="D365" s="8" t="s">
        <v>1264</v>
      </c>
      <c r="E365" s="10" t="s">
        <v>1683</v>
      </c>
      <c r="F365" s="10">
        <v>3</v>
      </c>
      <c r="G365" s="10">
        <v>2</v>
      </c>
      <c r="H365" s="10">
        <v>1</v>
      </c>
      <c r="I365" s="10"/>
      <c r="J365" s="10">
        <v>742</v>
      </c>
      <c r="K365" s="104">
        <v>45779</v>
      </c>
      <c r="L365" s="104"/>
      <c r="M365" s="10" t="b">
        <v>1</v>
      </c>
      <c r="N365" s="10"/>
      <c r="O365" s="11">
        <v>1404</v>
      </c>
      <c r="P365" s="85">
        <v>1.8921832884097034</v>
      </c>
      <c r="Q365" s="11">
        <v>1404</v>
      </c>
      <c r="R365" s="85">
        <v>1.8921832884097034</v>
      </c>
      <c r="S365" s="29" t="s">
        <v>1998</v>
      </c>
      <c r="T365" s="29" t="s">
        <v>1998</v>
      </c>
    </row>
    <row r="366">
      <c r="B366" s="29" t="s">
        <v>1218</v>
      </c>
      <c r="C366" s="29" t="s">
        <v>1244</v>
      </c>
      <c r="D366" s="8" t="s">
        <v>1264</v>
      </c>
      <c r="E366" s="10" t="s">
        <v>1684</v>
      </c>
      <c r="F366" s="10">
        <v>4</v>
      </c>
      <c r="G366" s="10">
        <v>2</v>
      </c>
      <c r="H366" s="10">
        <v>1</v>
      </c>
      <c r="I366" s="10"/>
      <c r="J366" s="10">
        <v>742</v>
      </c>
      <c r="K366" s="104">
        <v>45759</v>
      </c>
      <c r="L366" s="104"/>
      <c r="M366" s="10" t="b">
        <v>1</v>
      </c>
      <c r="N366" s="10"/>
      <c r="O366" s="11">
        <v>1404</v>
      </c>
      <c r="P366" s="85">
        <v>1.8921832884097034</v>
      </c>
      <c r="Q366" s="11">
        <v>1404</v>
      </c>
      <c r="R366" s="85">
        <v>1.8921832884097034</v>
      </c>
      <c r="S366" s="29" t="s">
        <v>1998</v>
      </c>
      <c r="T366" s="29" t="s">
        <v>1998</v>
      </c>
    </row>
    <row r="367">
      <c r="B367" s="29" t="s">
        <v>1218</v>
      </c>
      <c r="C367" s="29" t="s">
        <v>1244</v>
      </c>
      <c r="D367" s="8" t="s">
        <v>1264</v>
      </c>
      <c r="E367" s="10" t="s">
        <v>1685</v>
      </c>
      <c r="F367" s="10">
        <v>3</v>
      </c>
      <c r="G367" s="10">
        <v>2</v>
      </c>
      <c r="H367" s="10">
        <v>1</v>
      </c>
      <c r="I367" s="10"/>
      <c r="J367" s="10">
        <v>742</v>
      </c>
      <c r="K367" s="104">
        <v>45650</v>
      </c>
      <c r="L367" s="104">
        <v>45668</v>
      </c>
      <c r="M367" s="10" t="b">
        <v>0</v>
      </c>
      <c r="N367" s="10">
        <v>19</v>
      </c>
      <c r="O367" s="11">
        <v>1404</v>
      </c>
      <c r="P367" s="85">
        <v>1.8921832884097034</v>
      </c>
      <c r="Q367" s="11">
        <v>1404</v>
      </c>
      <c r="R367" s="85">
        <v>1.8921832884097034</v>
      </c>
      <c r="S367" s="29" t="s">
        <v>1998</v>
      </c>
      <c r="T367" s="29" t="s">
        <v>1998</v>
      </c>
    </row>
    <row r="368">
      <c r="B368" s="29" t="s">
        <v>1218</v>
      </c>
      <c r="C368" s="29" t="s">
        <v>1244</v>
      </c>
      <c r="D368" s="8" t="s">
        <v>1264</v>
      </c>
      <c r="E368" s="10" t="s">
        <v>1686</v>
      </c>
      <c r="F368" s="10">
        <v>4</v>
      </c>
      <c r="G368" s="10">
        <v>2</v>
      </c>
      <c r="H368" s="10">
        <v>1</v>
      </c>
      <c r="I368" s="10"/>
      <c r="J368" s="10">
        <v>742</v>
      </c>
      <c r="K368" s="104">
        <v>45703</v>
      </c>
      <c r="L368" s="104">
        <v>45732</v>
      </c>
      <c r="M368" s="10" t="b">
        <v>0</v>
      </c>
      <c r="N368" s="10">
        <v>30</v>
      </c>
      <c r="O368" s="11">
        <v>1439</v>
      </c>
      <c r="P368" s="85">
        <v>1.9393530997304582</v>
      </c>
      <c r="Q368" s="11">
        <v>1439</v>
      </c>
      <c r="R368" s="85">
        <v>1.9393530997304582</v>
      </c>
      <c r="S368" s="29" t="s">
        <v>2009</v>
      </c>
      <c r="T368" s="29" t="s">
        <v>2030</v>
      </c>
    </row>
    <row r="369">
      <c r="B369" s="29" t="s">
        <v>1218</v>
      </c>
      <c r="C369" s="29" t="s">
        <v>1244</v>
      </c>
      <c r="D369" s="8" t="s">
        <v>1264</v>
      </c>
      <c r="E369" s="10" t="s">
        <v>1687</v>
      </c>
      <c r="F369" s="10">
        <v>4</v>
      </c>
      <c r="G369" s="10">
        <v>2</v>
      </c>
      <c r="H369" s="10">
        <v>1</v>
      </c>
      <c r="I369" s="10"/>
      <c r="J369" s="10">
        <v>742</v>
      </c>
      <c r="K369" s="104">
        <v>45647</v>
      </c>
      <c r="L369" s="104">
        <v>45766</v>
      </c>
      <c r="M369" s="10" t="b">
        <v>0</v>
      </c>
      <c r="N369" s="10">
        <v>120</v>
      </c>
      <c r="O369" s="11">
        <v>1439</v>
      </c>
      <c r="P369" s="85">
        <v>1.9393530997304582</v>
      </c>
      <c r="Q369" s="11">
        <v>1439</v>
      </c>
      <c r="R369" s="85">
        <v>1.9393530997304582</v>
      </c>
      <c r="S369" s="29" t="s">
        <v>1998</v>
      </c>
      <c r="T369" s="29" t="s">
        <v>1998</v>
      </c>
    </row>
    <row r="370">
      <c r="B370" s="29" t="s">
        <v>1218</v>
      </c>
      <c r="C370" s="29" t="s">
        <v>1244</v>
      </c>
      <c r="D370" s="8" t="s">
        <v>1264</v>
      </c>
      <c r="E370" s="10" t="s">
        <v>1688</v>
      </c>
      <c r="F370" s="10">
        <v>3</v>
      </c>
      <c r="G370" s="10">
        <v>2</v>
      </c>
      <c r="H370" s="10">
        <v>1</v>
      </c>
      <c r="I370" s="10"/>
      <c r="J370" s="10">
        <v>742</v>
      </c>
      <c r="K370" s="104">
        <v>45581</v>
      </c>
      <c r="L370" s="104">
        <v>45669</v>
      </c>
      <c r="M370" s="10" t="b">
        <v>0</v>
      </c>
      <c r="N370" s="10">
        <v>89</v>
      </c>
      <c r="O370" s="11">
        <v>1449</v>
      </c>
      <c r="P370" s="85">
        <v>1.9528301886792452</v>
      </c>
      <c r="Q370" s="11">
        <v>1449</v>
      </c>
      <c r="R370" s="85">
        <v>1.9528301886792452</v>
      </c>
      <c r="S370" s="29" t="s">
        <v>1998</v>
      </c>
      <c r="T370" s="29" t="s">
        <v>1998</v>
      </c>
    </row>
    <row r="371">
      <c r="B371" s="29" t="s">
        <v>1218</v>
      </c>
      <c r="C371" s="29" t="s">
        <v>1244</v>
      </c>
      <c r="D371" s="8" t="s">
        <v>1264</v>
      </c>
      <c r="E371" s="10" t="s">
        <v>1689</v>
      </c>
      <c r="F371" s="10">
        <v>4</v>
      </c>
      <c r="G371" s="10">
        <v>2</v>
      </c>
      <c r="H371" s="10">
        <v>1</v>
      </c>
      <c r="I371" s="10"/>
      <c r="J371" s="10">
        <v>742</v>
      </c>
      <c r="K371" s="104">
        <v>45524</v>
      </c>
      <c r="L371" s="104">
        <v>45548</v>
      </c>
      <c r="M371" s="10" t="b">
        <v>0</v>
      </c>
      <c r="N371" s="10">
        <v>25</v>
      </c>
      <c r="O371" s="11">
        <v>1459</v>
      </c>
      <c r="P371" s="85">
        <v>1.9663072776280324</v>
      </c>
      <c r="Q371" s="11">
        <v>1459</v>
      </c>
      <c r="R371" s="85">
        <v>1.9663072776280324</v>
      </c>
      <c r="S371" s="29" t="s">
        <v>1998</v>
      </c>
      <c r="T371" s="29" t="s">
        <v>1998</v>
      </c>
    </row>
    <row r="372">
      <c r="B372" s="29" t="s">
        <v>1218</v>
      </c>
      <c r="C372" s="29" t="s">
        <v>1244</v>
      </c>
      <c r="D372" s="8" t="s">
        <v>1264</v>
      </c>
      <c r="E372" s="10" t="s">
        <v>1690</v>
      </c>
      <c r="F372" s="10">
        <v>4</v>
      </c>
      <c r="G372" s="10">
        <v>2</v>
      </c>
      <c r="H372" s="10">
        <v>1</v>
      </c>
      <c r="I372" s="10"/>
      <c r="J372" s="10">
        <v>742</v>
      </c>
      <c r="K372" s="104">
        <v>45784</v>
      </c>
      <c r="L372" s="104"/>
      <c r="M372" s="10" t="b">
        <v>1</v>
      </c>
      <c r="N372" s="10"/>
      <c r="O372" s="11">
        <v>1459</v>
      </c>
      <c r="P372" s="85">
        <v>1.9663072776280324</v>
      </c>
      <c r="Q372" s="11">
        <v>1459</v>
      </c>
      <c r="R372" s="85">
        <v>1.9663072776280324</v>
      </c>
      <c r="S372" s="29" t="s">
        <v>1998</v>
      </c>
      <c r="T372" s="29" t="s">
        <v>1998</v>
      </c>
    </row>
    <row r="373">
      <c r="B373" s="29" t="s">
        <v>1218</v>
      </c>
      <c r="C373" s="29" t="s">
        <v>1244</v>
      </c>
      <c r="D373" s="8" t="s">
        <v>1264</v>
      </c>
      <c r="E373" s="10" t="s">
        <v>1691</v>
      </c>
      <c r="F373" s="10">
        <v>4</v>
      </c>
      <c r="G373" s="10">
        <v>2</v>
      </c>
      <c r="H373" s="10">
        <v>1</v>
      </c>
      <c r="I373" s="10"/>
      <c r="J373" s="10">
        <v>742</v>
      </c>
      <c r="K373" s="104">
        <v>45595</v>
      </c>
      <c r="L373" s="104">
        <v>45635</v>
      </c>
      <c r="M373" s="10" t="b">
        <v>0</v>
      </c>
      <c r="N373" s="10">
        <v>41</v>
      </c>
      <c r="O373" s="11">
        <v>1459</v>
      </c>
      <c r="P373" s="85">
        <v>1.9663072776280324</v>
      </c>
      <c r="Q373" s="11">
        <v>1459</v>
      </c>
      <c r="R373" s="85">
        <v>1.9663072776280324</v>
      </c>
      <c r="S373" s="29" t="s">
        <v>1998</v>
      </c>
      <c r="T373" s="29" t="s">
        <v>1998</v>
      </c>
    </row>
    <row r="374">
      <c r="B374" s="29" t="s">
        <v>1218</v>
      </c>
      <c r="C374" s="29" t="s">
        <v>1244</v>
      </c>
      <c r="D374" s="8" t="s">
        <v>1264</v>
      </c>
      <c r="E374" s="10" t="s">
        <v>1692</v>
      </c>
      <c r="F374" s="10">
        <v>4</v>
      </c>
      <c r="G374" s="10">
        <v>2</v>
      </c>
      <c r="H374" s="10">
        <v>1</v>
      </c>
      <c r="I374" s="10"/>
      <c r="J374" s="10">
        <v>742</v>
      </c>
      <c r="K374" s="104">
        <v>45612</v>
      </c>
      <c r="L374" s="104">
        <v>45694</v>
      </c>
      <c r="M374" s="10" t="b">
        <v>0</v>
      </c>
      <c r="N374" s="10">
        <v>83</v>
      </c>
      <c r="O374" s="11">
        <v>1464</v>
      </c>
      <c r="P374" s="85">
        <v>1.9730458221024259</v>
      </c>
      <c r="Q374" s="11">
        <v>1464</v>
      </c>
      <c r="R374" s="85">
        <v>1.9730458221024259</v>
      </c>
      <c r="S374" s="29" t="s">
        <v>1998</v>
      </c>
      <c r="T374" s="29" t="s">
        <v>1998</v>
      </c>
    </row>
    <row r="375">
      <c r="B375" s="29" t="s">
        <v>1218</v>
      </c>
      <c r="C375" s="29" t="s">
        <v>1244</v>
      </c>
      <c r="D375" s="8" t="s">
        <v>1264</v>
      </c>
      <c r="E375" s="10" t="s">
        <v>1693</v>
      </c>
      <c r="F375" s="10">
        <v>3</v>
      </c>
      <c r="G375" s="10">
        <v>2</v>
      </c>
      <c r="H375" s="10">
        <v>1</v>
      </c>
      <c r="I375" s="10"/>
      <c r="J375" s="10">
        <v>742</v>
      </c>
      <c r="K375" s="104">
        <v>45745</v>
      </c>
      <c r="L375" s="104"/>
      <c r="M375" s="10" t="b">
        <v>1</v>
      </c>
      <c r="N375" s="10"/>
      <c r="O375" s="11">
        <v>1464</v>
      </c>
      <c r="P375" s="85">
        <v>1.9730458221024259</v>
      </c>
      <c r="Q375" s="11">
        <v>1464</v>
      </c>
      <c r="R375" s="85">
        <v>1.9730458221024259</v>
      </c>
      <c r="S375" s="29" t="s">
        <v>1998</v>
      </c>
      <c r="T375" s="29" t="s">
        <v>1998</v>
      </c>
    </row>
    <row r="376">
      <c r="B376" s="29" t="s">
        <v>1218</v>
      </c>
      <c r="C376" s="29" t="s">
        <v>1244</v>
      </c>
      <c r="D376" s="8" t="s">
        <v>1264</v>
      </c>
      <c r="E376" s="10" t="s">
        <v>1694</v>
      </c>
      <c r="F376" s="10">
        <v>3</v>
      </c>
      <c r="G376" s="10">
        <v>2</v>
      </c>
      <c r="H376" s="10">
        <v>1</v>
      </c>
      <c r="I376" s="10"/>
      <c r="J376" s="10">
        <v>742</v>
      </c>
      <c r="K376" s="104">
        <v>45469</v>
      </c>
      <c r="L376" s="104">
        <v>45564</v>
      </c>
      <c r="M376" s="10" t="b">
        <v>0</v>
      </c>
      <c r="N376" s="10">
        <v>96</v>
      </c>
      <c r="O376" s="11">
        <v>1464</v>
      </c>
      <c r="P376" s="85">
        <v>1.9730458221024259</v>
      </c>
      <c r="Q376" s="11">
        <v>1464</v>
      </c>
      <c r="R376" s="85">
        <v>1.9730458221024259</v>
      </c>
      <c r="S376" s="29" t="s">
        <v>2008</v>
      </c>
      <c r="T376" s="29" t="s">
        <v>2035</v>
      </c>
    </row>
    <row r="377">
      <c r="B377" s="29" t="s">
        <v>1218</v>
      </c>
      <c r="C377" s="29" t="s">
        <v>1244</v>
      </c>
      <c r="D377" s="8" t="s">
        <v>1264</v>
      </c>
      <c r="E377" s="10" t="s">
        <v>1695</v>
      </c>
      <c r="F377" s="10">
        <v>3</v>
      </c>
      <c r="G377" s="10">
        <v>2</v>
      </c>
      <c r="H377" s="10">
        <v>1</v>
      </c>
      <c r="I377" s="10"/>
      <c r="J377" s="10">
        <v>742</v>
      </c>
      <c r="K377" s="104">
        <v>45512</v>
      </c>
      <c r="L377" s="104">
        <v>45524</v>
      </c>
      <c r="M377" s="10" t="b">
        <v>0</v>
      </c>
      <c r="N377" s="10">
        <v>13</v>
      </c>
      <c r="O377" s="11">
        <v>1464</v>
      </c>
      <c r="P377" s="85">
        <v>1.9730458221024259</v>
      </c>
      <c r="Q377" s="11">
        <v>1464</v>
      </c>
      <c r="R377" s="85">
        <v>1.9730458221024259</v>
      </c>
      <c r="S377" s="29" t="s">
        <v>1998</v>
      </c>
      <c r="T377" s="29" t="s">
        <v>1998</v>
      </c>
    </row>
    <row r="378">
      <c r="B378" s="29" t="s">
        <v>1218</v>
      </c>
      <c r="C378" s="29" t="s">
        <v>1244</v>
      </c>
      <c r="D378" s="8" t="s">
        <v>1264</v>
      </c>
      <c r="E378" s="10" t="s">
        <v>1696</v>
      </c>
      <c r="F378" s="10">
        <v>3</v>
      </c>
      <c r="G378" s="10">
        <v>2</v>
      </c>
      <c r="H378" s="10">
        <v>1</v>
      </c>
      <c r="I378" s="10"/>
      <c r="J378" s="10">
        <v>742</v>
      </c>
      <c r="K378" s="104">
        <v>45650</v>
      </c>
      <c r="L378" s="104">
        <v>45719</v>
      </c>
      <c r="M378" s="10" t="b">
        <v>0</v>
      </c>
      <c r="N378" s="10">
        <v>70</v>
      </c>
      <c r="O378" s="11">
        <v>1464</v>
      </c>
      <c r="P378" s="85">
        <v>1.9730458221024259</v>
      </c>
      <c r="Q378" s="11">
        <v>1464</v>
      </c>
      <c r="R378" s="85">
        <v>1.9730458221024259</v>
      </c>
      <c r="S378" s="29" t="s">
        <v>1998</v>
      </c>
      <c r="T378" s="29" t="s">
        <v>1998</v>
      </c>
    </row>
    <row r="379">
      <c r="B379" s="29" t="s">
        <v>1218</v>
      </c>
      <c r="C379" s="29" t="s">
        <v>1244</v>
      </c>
      <c r="D379" s="8" t="s">
        <v>1264</v>
      </c>
      <c r="E379" s="10" t="s">
        <v>1697</v>
      </c>
      <c r="F379" s="10">
        <v>3</v>
      </c>
      <c r="G379" s="10">
        <v>2</v>
      </c>
      <c r="H379" s="10">
        <v>1</v>
      </c>
      <c r="I379" s="10"/>
      <c r="J379" s="10">
        <v>742</v>
      </c>
      <c r="K379" s="104">
        <v>45441</v>
      </c>
      <c r="L379" s="104">
        <v>45506</v>
      </c>
      <c r="M379" s="10" t="b">
        <v>0</v>
      </c>
      <c r="N379" s="10">
        <v>66</v>
      </c>
      <c r="O379" s="11">
        <v>1464</v>
      </c>
      <c r="P379" s="85">
        <v>1.9730458221024259</v>
      </c>
      <c r="Q379" s="11">
        <v>1464</v>
      </c>
      <c r="R379" s="85">
        <v>1.9730458221024259</v>
      </c>
      <c r="S379" s="29" t="s">
        <v>1998</v>
      </c>
      <c r="T379" s="29" t="s">
        <v>1998</v>
      </c>
    </row>
    <row r="380">
      <c r="B380" s="29" t="s">
        <v>1219</v>
      </c>
      <c r="C380" s="29" t="s">
        <v>1245</v>
      </c>
      <c r="D380" s="8" t="s">
        <v>1265</v>
      </c>
      <c r="E380" s="10" t="s">
        <v>1698</v>
      </c>
      <c r="F380" s="10"/>
      <c r="G380" s="10">
        <v>1</v>
      </c>
      <c r="H380" s="10">
        <v>1</v>
      </c>
      <c r="I380" s="10"/>
      <c r="J380" s="10">
        <v>704</v>
      </c>
      <c r="K380" s="104">
        <v>45466</v>
      </c>
      <c r="L380" s="104">
        <v>45558</v>
      </c>
      <c r="M380" s="10" t="b">
        <v>0</v>
      </c>
      <c r="N380" s="10">
        <v>93</v>
      </c>
      <c r="O380" s="11">
        <v>1140</v>
      </c>
      <c r="P380" s="85">
        <v>1.6193181818181819</v>
      </c>
      <c r="Q380" s="11">
        <v>1090</v>
      </c>
      <c r="R380" s="85">
        <v>1.5482954545454546</v>
      </c>
      <c r="S380" s="29" t="s">
        <v>2011</v>
      </c>
      <c r="T380" s="29" t="s">
        <v>2038</v>
      </c>
    </row>
    <row r="381">
      <c r="B381" s="29" t="s">
        <v>1219</v>
      </c>
      <c r="C381" s="29" t="s">
        <v>1245</v>
      </c>
      <c r="D381" s="8" t="s">
        <v>1265</v>
      </c>
      <c r="E381" s="10" t="s">
        <v>1699</v>
      </c>
      <c r="F381" s="10"/>
      <c r="G381" s="10">
        <v>1</v>
      </c>
      <c r="H381" s="10">
        <v>1</v>
      </c>
      <c r="I381" s="10"/>
      <c r="J381" s="10">
        <v>704</v>
      </c>
      <c r="K381" s="104">
        <v>45476</v>
      </c>
      <c r="L381" s="104">
        <v>45559</v>
      </c>
      <c r="M381" s="10" t="b">
        <v>0</v>
      </c>
      <c r="N381" s="10">
        <v>84</v>
      </c>
      <c r="O381" s="11">
        <v>1140</v>
      </c>
      <c r="P381" s="85">
        <v>1.6193181818181819</v>
      </c>
      <c r="Q381" s="11">
        <v>1090</v>
      </c>
      <c r="R381" s="85">
        <v>1.5482954545454546</v>
      </c>
      <c r="S381" s="29" t="s">
        <v>2011</v>
      </c>
      <c r="T381" s="29" t="s">
        <v>2038</v>
      </c>
    </row>
    <row r="382">
      <c r="B382" s="29" t="s">
        <v>1219</v>
      </c>
      <c r="C382" s="29" t="s">
        <v>1245</v>
      </c>
      <c r="D382" s="8" t="s">
        <v>1265</v>
      </c>
      <c r="E382" s="10" t="s">
        <v>1700</v>
      </c>
      <c r="F382" s="10"/>
      <c r="G382" s="10">
        <v>1</v>
      </c>
      <c r="H382" s="10">
        <v>1</v>
      </c>
      <c r="I382" s="10"/>
      <c r="J382" s="10">
        <v>704</v>
      </c>
      <c r="K382" s="104">
        <v>45476</v>
      </c>
      <c r="L382" s="104">
        <v>45561</v>
      </c>
      <c r="M382" s="10" t="b">
        <v>0</v>
      </c>
      <c r="N382" s="10">
        <v>86</v>
      </c>
      <c r="O382" s="11">
        <v>1185</v>
      </c>
      <c r="P382" s="85">
        <v>1.6832386363636365</v>
      </c>
      <c r="Q382" s="11">
        <v>1143</v>
      </c>
      <c r="R382" s="85">
        <v>1.6235795454545454</v>
      </c>
      <c r="S382" s="29" t="s">
        <v>2011</v>
      </c>
      <c r="T382" s="29" t="s">
        <v>2038</v>
      </c>
    </row>
    <row r="383">
      <c r="B383" s="29" t="s">
        <v>1219</v>
      </c>
      <c r="C383" s="29" t="s">
        <v>1245</v>
      </c>
      <c r="D383" s="8" t="s">
        <v>1265</v>
      </c>
      <c r="E383" s="10" t="s">
        <v>1701</v>
      </c>
      <c r="F383" s="10">
        <v>2</v>
      </c>
      <c r="G383" s="10">
        <v>1</v>
      </c>
      <c r="H383" s="10">
        <v>1</v>
      </c>
      <c r="I383" s="10"/>
      <c r="J383" s="10">
        <v>704</v>
      </c>
      <c r="K383" s="104">
        <v>45351</v>
      </c>
      <c r="L383" s="104">
        <v>45560</v>
      </c>
      <c r="M383" s="10" t="b">
        <v>0</v>
      </c>
      <c r="N383" s="10">
        <v>210</v>
      </c>
      <c r="O383" s="11">
        <v>1195</v>
      </c>
      <c r="P383" s="85">
        <v>1.6974431818181819</v>
      </c>
      <c r="Q383" s="11">
        <v>1153</v>
      </c>
      <c r="R383" s="85">
        <v>1.6377840909090908</v>
      </c>
      <c r="S383" s="29" t="s">
        <v>2012</v>
      </c>
      <c r="T383" s="29" t="s">
        <v>2038</v>
      </c>
    </row>
    <row r="384">
      <c r="B384" s="29" t="s">
        <v>1219</v>
      </c>
      <c r="C384" s="29" t="s">
        <v>1245</v>
      </c>
      <c r="D384" s="8" t="s">
        <v>1265</v>
      </c>
      <c r="E384" s="10"/>
      <c r="F384" s="10"/>
      <c r="G384" s="10">
        <v>1</v>
      </c>
      <c r="H384" s="10">
        <v>1</v>
      </c>
      <c r="I384" s="10"/>
      <c r="J384" s="10">
        <v>704</v>
      </c>
      <c r="K384" s="104">
        <v>45350</v>
      </c>
      <c r="L384" s="104">
        <v>45401</v>
      </c>
      <c r="M384" s="10" t="b">
        <v>0</v>
      </c>
      <c r="N384" s="10">
        <v>52</v>
      </c>
      <c r="O384" s="11"/>
      <c r="P384" s="85"/>
      <c r="Q384" s="11"/>
      <c r="R384" s="85"/>
      <c r="S384" s="29" t="s">
        <v>1998</v>
      </c>
      <c r="T384" s="29" t="s">
        <v>2039</v>
      </c>
    </row>
    <row r="385">
      <c r="B385" s="29" t="s">
        <v>1219</v>
      </c>
      <c r="C385" s="29" t="s">
        <v>1245</v>
      </c>
      <c r="D385" s="8" t="s">
        <v>1265</v>
      </c>
      <c r="E385" s="10" t="s">
        <v>1702</v>
      </c>
      <c r="F385" s="10"/>
      <c r="G385" s="10">
        <v>1</v>
      </c>
      <c r="H385" s="10">
        <v>1</v>
      </c>
      <c r="I385" s="10"/>
      <c r="J385" s="10">
        <v>704</v>
      </c>
      <c r="K385" s="104">
        <v>45500</v>
      </c>
      <c r="L385" s="104">
        <v>45667</v>
      </c>
      <c r="M385" s="10" t="b">
        <v>0</v>
      </c>
      <c r="N385" s="10">
        <v>168</v>
      </c>
      <c r="O385" s="11">
        <v>1230</v>
      </c>
      <c r="P385" s="85">
        <v>1.7471590909090908</v>
      </c>
      <c r="Q385" s="11">
        <v>1230</v>
      </c>
      <c r="R385" s="85">
        <v>1.7471590909090908</v>
      </c>
      <c r="S385" s="29" t="s">
        <v>2011</v>
      </c>
      <c r="T385" s="29" t="s">
        <v>2038</v>
      </c>
    </row>
    <row r="386">
      <c r="B386" s="29" t="s">
        <v>1219</v>
      </c>
      <c r="C386" s="29" t="s">
        <v>1245</v>
      </c>
      <c r="D386" s="8" t="s">
        <v>1265</v>
      </c>
      <c r="E386" s="10" t="s">
        <v>1703</v>
      </c>
      <c r="F386" s="10"/>
      <c r="G386" s="10">
        <v>1</v>
      </c>
      <c r="H386" s="10">
        <v>1</v>
      </c>
      <c r="I386" s="10"/>
      <c r="J386" s="10">
        <v>704</v>
      </c>
      <c r="K386" s="104">
        <v>45646</v>
      </c>
      <c r="L386" s="104">
        <v>45666</v>
      </c>
      <c r="M386" s="10" t="b">
        <v>0</v>
      </c>
      <c r="N386" s="10">
        <v>21</v>
      </c>
      <c r="O386" s="11">
        <v>1230</v>
      </c>
      <c r="P386" s="85">
        <v>1.7471590909090908</v>
      </c>
      <c r="Q386" s="11">
        <v>1230</v>
      </c>
      <c r="R386" s="85">
        <v>1.7471590909090908</v>
      </c>
      <c r="S386" s="29" t="s">
        <v>2011</v>
      </c>
      <c r="T386" s="29" t="s">
        <v>2038</v>
      </c>
    </row>
    <row r="387">
      <c r="B387" s="29" t="s">
        <v>1219</v>
      </c>
      <c r="C387" s="29" t="s">
        <v>1245</v>
      </c>
      <c r="D387" s="8" t="s">
        <v>1265</v>
      </c>
      <c r="E387" s="10" t="s">
        <v>1704</v>
      </c>
      <c r="F387" s="10"/>
      <c r="G387" s="10">
        <v>1</v>
      </c>
      <c r="H387" s="10">
        <v>1</v>
      </c>
      <c r="I387" s="10"/>
      <c r="J387" s="10">
        <v>704</v>
      </c>
      <c r="K387" s="104">
        <v>45637</v>
      </c>
      <c r="L387" s="104">
        <v>45641</v>
      </c>
      <c r="M387" s="10" t="b">
        <v>0</v>
      </c>
      <c r="N387" s="10">
        <v>5</v>
      </c>
      <c r="O387" s="11">
        <v>1230</v>
      </c>
      <c r="P387" s="85">
        <v>1.7471590909090908</v>
      </c>
      <c r="Q387" s="11">
        <v>1230</v>
      </c>
      <c r="R387" s="85">
        <v>1.7471590909090908</v>
      </c>
      <c r="S387" s="29" t="s">
        <v>2011</v>
      </c>
      <c r="T387" s="29" t="s">
        <v>2038</v>
      </c>
    </row>
    <row r="388">
      <c r="B388" s="29" t="s">
        <v>1219</v>
      </c>
      <c r="C388" s="29" t="s">
        <v>1245</v>
      </c>
      <c r="D388" s="8" t="s">
        <v>1265</v>
      </c>
      <c r="E388" s="10" t="s">
        <v>1705</v>
      </c>
      <c r="F388" s="10"/>
      <c r="G388" s="10">
        <v>1</v>
      </c>
      <c r="H388" s="10">
        <v>1</v>
      </c>
      <c r="I388" s="10"/>
      <c r="J388" s="10">
        <v>704</v>
      </c>
      <c r="K388" s="104">
        <v>45556</v>
      </c>
      <c r="L388" s="104">
        <v>45596</v>
      </c>
      <c r="M388" s="10" t="b">
        <v>0</v>
      </c>
      <c r="N388" s="10">
        <v>41</v>
      </c>
      <c r="O388" s="11">
        <v>1235</v>
      </c>
      <c r="P388" s="85">
        <v>1.7542613636363635</v>
      </c>
      <c r="Q388" s="11">
        <v>1185</v>
      </c>
      <c r="R388" s="85">
        <v>1.6832386363636365</v>
      </c>
      <c r="S388" s="29" t="s">
        <v>2011</v>
      </c>
      <c r="T388" s="29" t="s">
        <v>2038</v>
      </c>
    </row>
    <row r="389">
      <c r="B389" s="29" t="s">
        <v>1219</v>
      </c>
      <c r="C389" s="29" t="s">
        <v>1245</v>
      </c>
      <c r="D389" s="8" t="s">
        <v>1265</v>
      </c>
      <c r="E389" s="10" t="s">
        <v>1706</v>
      </c>
      <c r="F389" s="10"/>
      <c r="G389" s="10">
        <v>1</v>
      </c>
      <c r="H389" s="10">
        <v>1</v>
      </c>
      <c r="I389" s="10"/>
      <c r="J389" s="10">
        <v>704</v>
      </c>
      <c r="K389" s="104">
        <v>45672</v>
      </c>
      <c r="L389" s="104">
        <v>45674</v>
      </c>
      <c r="M389" s="10" t="b">
        <v>0</v>
      </c>
      <c r="N389" s="10">
        <v>3</v>
      </c>
      <c r="O389" s="11">
        <v>1235</v>
      </c>
      <c r="P389" s="85">
        <v>1.7542613636363635</v>
      </c>
      <c r="Q389" s="11">
        <v>1235</v>
      </c>
      <c r="R389" s="85">
        <v>1.7542613636363635</v>
      </c>
      <c r="S389" s="29" t="s">
        <v>2011</v>
      </c>
      <c r="T389" s="29" t="s">
        <v>2038</v>
      </c>
    </row>
    <row r="390">
      <c r="B390" s="29" t="s">
        <v>1219</v>
      </c>
      <c r="C390" s="29" t="s">
        <v>1245</v>
      </c>
      <c r="D390" s="8" t="s">
        <v>1265</v>
      </c>
      <c r="E390" s="10" t="s">
        <v>1707</v>
      </c>
      <c r="F390" s="10"/>
      <c r="G390" s="10">
        <v>1</v>
      </c>
      <c r="H390" s="10">
        <v>1</v>
      </c>
      <c r="I390" s="10"/>
      <c r="J390" s="10">
        <v>704</v>
      </c>
      <c r="K390" s="104">
        <v>45536</v>
      </c>
      <c r="L390" s="104">
        <v>45764</v>
      </c>
      <c r="M390" s="10" t="b">
        <v>0</v>
      </c>
      <c r="N390" s="10">
        <v>229</v>
      </c>
      <c r="O390" s="11">
        <v>1245</v>
      </c>
      <c r="P390" s="85">
        <v>1.7684659090909092</v>
      </c>
      <c r="Q390" s="11">
        <v>1203</v>
      </c>
      <c r="R390" s="85">
        <v>1.7088068181818181</v>
      </c>
      <c r="S390" s="29" t="s">
        <v>2013</v>
      </c>
      <c r="T390" s="29" t="s">
        <v>2040</v>
      </c>
    </row>
    <row r="391">
      <c r="B391" s="29" t="s">
        <v>1219</v>
      </c>
      <c r="C391" s="29" t="s">
        <v>1245</v>
      </c>
      <c r="D391" s="8" t="s">
        <v>1265</v>
      </c>
      <c r="E391" s="10" t="s">
        <v>1708</v>
      </c>
      <c r="F391" s="10"/>
      <c r="G391" s="10">
        <v>1</v>
      </c>
      <c r="H391" s="10">
        <v>1</v>
      </c>
      <c r="I391" s="10"/>
      <c r="J391" s="10">
        <v>704</v>
      </c>
      <c r="K391" s="104">
        <v>45604</v>
      </c>
      <c r="L391" s="104">
        <v>45668</v>
      </c>
      <c r="M391" s="10" t="b">
        <v>0</v>
      </c>
      <c r="N391" s="10">
        <v>65</v>
      </c>
      <c r="O391" s="11">
        <v>1260</v>
      </c>
      <c r="P391" s="85">
        <v>1.7897727272727273</v>
      </c>
      <c r="Q391" s="11">
        <v>1260</v>
      </c>
      <c r="R391" s="85">
        <v>1.7897727272727273</v>
      </c>
      <c r="S391" s="29" t="s">
        <v>2014</v>
      </c>
      <c r="T391" s="29" t="s">
        <v>2038</v>
      </c>
    </row>
    <row r="392">
      <c r="B392" s="29" t="s">
        <v>1219</v>
      </c>
      <c r="C392" s="29" t="s">
        <v>1245</v>
      </c>
      <c r="D392" s="8" t="s">
        <v>1265</v>
      </c>
      <c r="E392" s="10" t="s">
        <v>1709</v>
      </c>
      <c r="F392" s="10">
        <v>2</v>
      </c>
      <c r="G392" s="10">
        <v>1</v>
      </c>
      <c r="H392" s="10">
        <v>1</v>
      </c>
      <c r="I392" s="10"/>
      <c r="J392" s="10">
        <v>704</v>
      </c>
      <c r="K392" s="104">
        <v>45681</v>
      </c>
      <c r="L392" s="104">
        <v>45696</v>
      </c>
      <c r="M392" s="10" t="b">
        <v>0</v>
      </c>
      <c r="N392" s="10">
        <v>16</v>
      </c>
      <c r="O392" s="11">
        <v>1260</v>
      </c>
      <c r="P392" s="85">
        <v>1.7897727272727273</v>
      </c>
      <c r="Q392" s="11">
        <v>1260</v>
      </c>
      <c r="R392" s="85">
        <v>1.7897727272727273</v>
      </c>
      <c r="S392" s="29" t="s">
        <v>2011</v>
      </c>
      <c r="T392" s="29" t="s">
        <v>2038</v>
      </c>
    </row>
    <row r="393">
      <c r="B393" s="29" t="s">
        <v>1219</v>
      </c>
      <c r="C393" s="29" t="s">
        <v>1245</v>
      </c>
      <c r="D393" s="8" t="s">
        <v>1265</v>
      </c>
      <c r="E393" s="10" t="s">
        <v>1710</v>
      </c>
      <c r="F393" s="10">
        <v>2</v>
      </c>
      <c r="G393" s="10">
        <v>1</v>
      </c>
      <c r="H393" s="10">
        <v>1</v>
      </c>
      <c r="I393" s="10"/>
      <c r="J393" s="10">
        <v>704</v>
      </c>
      <c r="K393" s="104">
        <v>45693</v>
      </c>
      <c r="L393" s="104">
        <v>45771</v>
      </c>
      <c r="M393" s="10" t="b">
        <v>0</v>
      </c>
      <c r="N393" s="10">
        <v>79</v>
      </c>
      <c r="O393" s="11">
        <v>1270</v>
      </c>
      <c r="P393" s="85">
        <v>1.8039772727272727</v>
      </c>
      <c r="Q393" s="11">
        <v>1270</v>
      </c>
      <c r="R393" s="85">
        <v>1.8039772727272727</v>
      </c>
      <c r="S393" s="29" t="s">
        <v>2015</v>
      </c>
      <c r="T393" s="29" t="s">
        <v>2040</v>
      </c>
    </row>
    <row r="394">
      <c r="B394" s="29" t="s">
        <v>1219</v>
      </c>
      <c r="C394" s="29" t="s">
        <v>1245</v>
      </c>
      <c r="D394" s="8" t="s">
        <v>1265</v>
      </c>
      <c r="E394" s="10" t="s">
        <v>1711</v>
      </c>
      <c r="F394" s="10"/>
      <c r="G394" s="10">
        <v>1</v>
      </c>
      <c r="H394" s="10">
        <v>1</v>
      </c>
      <c r="I394" s="10"/>
      <c r="J394" s="10">
        <v>704</v>
      </c>
      <c r="K394" s="104">
        <v>45653</v>
      </c>
      <c r="L394" s="104">
        <v>45682</v>
      </c>
      <c r="M394" s="10" t="b">
        <v>0</v>
      </c>
      <c r="N394" s="10">
        <v>30</v>
      </c>
      <c r="O394" s="11">
        <v>1275</v>
      </c>
      <c r="P394" s="85">
        <v>1.8110795454545454</v>
      </c>
      <c r="Q394" s="11">
        <v>1275</v>
      </c>
      <c r="R394" s="85">
        <v>1.8110795454545454</v>
      </c>
      <c r="S394" s="29" t="s">
        <v>2014</v>
      </c>
      <c r="T394" s="29" t="s">
        <v>2038</v>
      </c>
    </row>
    <row r="395">
      <c r="B395" s="29" t="s">
        <v>1219</v>
      </c>
      <c r="C395" s="29" t="s">
        <v>1245</v>
      </c>
      <c r="D395" s="8" t="s">
        <v>1265</v>
      </c>
      <c r="E395" s="10" t="s">
        <v>1712</v>
      </c>
      <c r="F395" s="10"/>
      <c r="G395" s="10">
        <v>1</v>
      </c>
      <c r="H395" s="10">
        <v>1</v>
      </c>
      <c r="I395" s="10"/>
      <c r="J395" s="10">
        <v>704</v>
      </c>
      <c r="K395" s="104">
        <v>45545</v>
      </c>
      <c r="L395" s="104">
        <v>45582</v>
      </c>
      <c r="M395" s="10" t="b">
        <v>0</v>
      </c>
      <c r="N395" s="10">
        <v>38</v>
      </c>
      <c r="O395" s="11">
        <v>1275</v>
      </c>
      <c r="P395" s="85">
        <v>1.8110795454545454</v>
      </c>
      <c r="Q395" s="11">
        <v>1230</v>
      </c>
      <c r="R395" s="85">
        <v>1.7471590909090908</v>
      </c>
      <c r="S395" s="29" t="s">
        <v>2014</v>
      </c>
      <c r="T395" s="29" t="s">
        <v>2038</v>
      </c>
    </row>
    <row r="396">
      <c r="B396" s="29" t="s">
        <v>1219</v>
      </c>
      <c r="C396" s="29" t="s">
        <v>1245</v>
      </c>
      <c r="D396" s="8" t="s">
        <v>1265</v>
      </c>
      <c r="E396" s="10" t="s">
        <v>1713</v>
      </c>
      <c r="F396" s="10"/>
      <c r="G396" s="10">
        <v>1</v>
      </c>
      <c r="H396" s="10">
        <v>1</v>
      </c>
      <c r="I396" s="10"/>
      <c r="J396" s="10">
        <v>704</v>
      </c>
      <c r="K396" s="104">
        <v>45716</v>
      </c>
      <c r="L396" s="104"/>
      <c r="M396" s="10" t="b">
        <v>1</v>
      </c>
      <c r="N396" s="10"/>
      <c r="O396" s="11">
        <v>1285</v>
      </c>
      <c r="P396" s="85">
        <v>1.8252840909090908</v>
      </c>
      <c r="Q396" s="11">
        <v>1243</v>
      </c>
      <c r="R396" s="85">
        <v>1.765625</v>
      </c>
      <c r="S396" s="29" t="s">
        <v>2013</v>
      </c>
      <c r="T396" s="29" t="s">
        <v>2040</v>
      </c>
    </row>
    <row r="397">
      <c r="B397" s="29" t="s">
        <v>1219</v>
      </c>
      <c r="C397" s="29" t="s">
        <v>1245</v>
      </c>
      <c r="D397" s="8" t="s">
        <v>1265</v>
      </c>
      <c r="E397" s="10" t="s">
        <v>1714</v>
      </c>
      <c r="F397" s="10">
        <v>2</v>
      </c>
      <c r="G397" s="10">
        <v>1</v>
      </c>
      <c r="H397" s="10">
        <v>1</v>
      </c>
      <c r="I397" s="10"/>
      <c r="J397" s="10">
        <v>704</v>
      </c>
      <c r="K397" s="104">
        <v>45748</v>
      </c>
      <c r="L397" s="104"/>
      <c r="M397" s="10" t="b">
        <v>1</v>
      </c>
      <c r="N397" s="10"/>
      <c r="O397" s="11">
        <v>1285</v>
      </c>
      <c r="P397" s="85">
        <v>1.8252840909090908</v>
      </c>
      <c r="Q397" s="11">
        <v>1285</v>
      </c>
      <c r="R397" s="85">
        <v>1.8252840909090908</v>
      </c>
      <c r="S397" s="29" t="s">
        <v>2013</v>
      </c>
      <c r="T397" s="29" t="s">
        <v>2040</v>
      </c>
    </row>
    <row r="398">
      <c r="B398" s="29" t="s">
        <v>1219</v>
      </c>
      <c r="C398" s="29" t="s">
        <v>1245</v>
      </c>
      <c r="D398" s="8" t="s">
        <v>1265</v>
      </c>
      <c r="E398" s="10" t="s">
        <v>1715</v>
      </c>
      <c r="F398" s="10"/>
      <c r="G398" s="10">
        <v>1</v>
      </c>
      <c r="H398" s="10">
        <v>1</v>
      </c>
      <c r="I398" s="10"/>
      <c r="J398" s="10">
        <v>704</v>
      </c>
      <c r="K398" s="104">
        <v>45752</v>
      </c>
      <c r="L398" s="104"/>
      <c r="M398" s="10" t="b">
        <v>1</v>
      </c>
      <c r="N398" s="10"/>
      <c r="O398" s="11">
        <v>1285</v>
      </c>
      <c r="P398" s="85">
        <v>1.8252840909090908</v>
      </c>
      <c r="Q398" s="11">
        <v>1285</v>
      </c>
      <c r="R398" s="85">
        <v>1.8252840909090908</v>
      </c>
      <c r="S398" s="29" t="s">
        <v>2013</v>
      </c>
      <c r="T398" s="29" t="s">
        <v>2040</v>
      </c>
    </row>
    <row r="399">
      <c r="B399" s="29" t="s">
        <v>1219</v>
      </c>
      <c r="C399" s="29" t="s">
        <v>1245</v>
      </c>
      <c r="D399" s="8" t="s">
        <v>1265</v>
      </c>
      <c r="E399" s="10" t="s">
        <v>1716</v>
      </c>
      <c r="F399" s="10"/>
      <c r="G399" s="10">
        <v>1</v>
      </c>
      <c r="H399" s="10">
        <v>1</v>
      </c>
      <c r="I399" s="10"/>
      <c r="J399" s="10">
        <v>704</v>
      </c>
      <c r="K399" s="104">
        <v>45545</v>
      </c>
      <c r="L399" s="104">
        <v>45547</v>
      </c>
      <c r="M399" s="10" t="b">
        <v>0</v>
      </c>
      <c r="N399" s="10">
        <v>3</v>
      </c>
      <c r="O399" s="11">
        <v>1285</v>
      </c>
      <c r="P399" s="85">
        <v>1.8252840909090908</v>
      </c>
      <c r="Q399" s="11">
        <v>1285</v>
      </c>
      <c r="R399" s="85">
        <v>1.8252840909090908</v>
      </c>
      <c r="S399" s="29" t="s">
        <v>2014</v>
      </c>
      <c r="T399" s="29" t="s">
        <v>2038</v>
      </c>
    </row>
    <row r="400">
      <c r="B400" s="29" t="s">
        <v>1219</v>
      </c>
      <c r="C400" s="29" t="s">
        <v>1245</v>
      </c>
      <c r="D400" s="8" t="s">
        <v>1265</v>
      </c>
      <c r="E400" s="10" t="s">
        <v>1717</v>
      </c>
      <c r="F400" s="10"/>
      <c r="G400" s="10">
        <v>1</v>
      </c>
      <c r="H400" s="10">
        <v>1</v>
      </c>
      <c r="I400" s="10"/>
      <c r="J400" s="10">
        <v>704</v>
      </c>
      <c r="K400" s="104">
        <v>45685</v>
      </c>
      <c r="L400" s="104"/>
      <c r="M400" s="10" t="b">
        <v>1</v>
      </c>
      <c r="N400" s="10"/>
      <c r="O400" s="11">
        <v>1290</v>
      </c>
      <c r="P400" s="85">
        <v>1.8323863636363635</v>
      </c>
      <c r="Q400" s="11">
        <v>1248</v>
      </c>
      <c r="R400" s="85">
        <v>1.7727272727272727</v>
      </c>
      <c r="S400" s="29" t="s">
        <v>2013</v>
      </c>
      <c r="T400" s="29" t="s">
        <v>2040</v>
      </c>
    </row>
    <row r="401">
      <c r="B401" s="29" t="s">
        <v>1219</v>
      </c>
      <c r="C401" s="29" t="s">
        <v>1245</v>
      </c>
      <c r="D401" s="8" t="s">
        <v>1265</v>
      </c>
      <c r="E401" s="10" t="s">
        <v>1718</v>
      </c>
      <c r="F401" s="10"/>
      <c r="G401" s="10">
        <v>1</v>
      </c>
      <c r="H401" s="10">
        <v>1</v>
      </c>
      <c r="I401" s="10"/>
      <c r="J401" s="10">
        <v>704</v>
      </c>
      <c r="K401" s="104">
        <v>45729</v>
      </c>
      <c r="L401" s="104"/>
      <c r="M401" s="10" t="b">
        <v>1</v>
      </c>
      <c r="N401" s="10"/>
      <c r="O401" s="11">
        <v>1290</v>
      </c>
      <c r="P401" s="85">
        <v>1.8323863636363635</v>
      </c>
      <c r="Q401" s="11">
        <v>1248</v>
      </c>
      <c r="R401" s="85">
        <v>1.7727272727272727</v>
      </c>
      <c r="S401" s="29" t="s">
        <v>2013</v>
      </c>
      <c r="T401" s="29" t="s">
        <v>2040</v>
      </c>
    </row>
    <row r="402">
      <c r="B402" s="29" t="s">
        <v>1219</v>
      </c>
      <c r="C402" s="29" t="s">
        <v>1245</v>
      </c>
      <c r="D402" s="8" t="s">
        <v>1265</v>
      </c>
      <c r="E402" s="10" t="s">
        <v>1719</v>
      </c>
      <c r="F402" s="10"/>
      <c r="G402" s="10">
        <v>1</v>
      </c>
      <c r="H402" s="10">
        <v>1</v>
      </c>
      <c r="I402" s="10"/>
      <c r="J402" s="10">
        <v>704</v>
      </c>
      <c r="K402" s="104">
        <v>45715</v>
      </c>
      <c r="L402" s="104"/>
      <c r="M402" s="10" t="b">
        <v>1</v>
      </c>
      <c r="N402" s="10"/>
      <c r="O402" s="11">
        <v>1290</v>
      </c>
      <c r="P402" s="85">
        <v>1.8323863636363635</v>
      </c>
      <c r="Q402" s="11">
        <v>1245</v>
      </c>
      <c r="R402" s="85">
        <v>1.7684659090909092</v>
      </c>
      <c r="S402" s="29" t="s">
        <v>2013</v>
      </c>
      <c r="T402" s="29" t="s">
        <v>2040</v>
      </c>
    </row>
    <row r="403">
      <c r="B403" s="29" t="s">
        <v>1219</v>
      </c>
      <c r="C403" s="29" t="s">
        <v>1245</v>
      </c>
      <c r="D403" s="8" t="s">
        <v>1265</v>
      </c>
      <c r="E403" s="10" t="s">
        <v>1720</v>
      </c>
      <c r="F403" s="10"/>
      <c r="G403" s="10">
        <v>1</v>
      </c>
      <c r="H403" s="10">
        <v>1</v>
      </c>
      <c r="I403" s="10"/>
      <c r="J403" s="10">
        <v>704</v>
      </c>
      <c r="K403" s="104">
        <v>45777</v>
      </c>
      <c r="L403" s="104">
        <v>45784</v>
      </c>
      <c r="M403" s="10" t="b">
        <v>0</v>
      </c>
      <c r="N403" s="10">
        <v>8</v>
      </c>
      <c r="O403" s="11">
        <v>1305</v>
      </c>
      <c r="P403" s="85">
        <v>1.8536931818181819</v>
      </c>
      <c r="Q403" s="11">
        <v>1305</v>
      </c>
      <c r="R403" s="85">
        <v>1.8536931818181819</v>
      </c>
      <c r="S403" s="29" t="s">
        <v>2016</v>
      </c>
      <c r="T403" s="29" t="s">
        <v>2040</v>
      </c>
    </row>
    <row r="404">
      <c r="B404" s="29" t="s">
        <v>1219</v>
      </c>
      <c r="C404" s="29" t="s">
        <v>1245</v>
      </c>
      <c r="D404" s="8" t="s">
        <v>1265</v>
      </c>
      <c r="E404" s="10" t="s">
        <v>1721</v>
      </c>
      <c r="F404" s="10">
        <v>2</v>
      </c>
      <c r="G404" s="10">
        <v>1</v>
      </c>
      <c r="H404" s="10">
        <v>1</v>
      </c>
      <c r="I404" s="10"/>
      <c r="J404" s="10">
        <v>704</v>
      </c>
      <c r="K404" s="104">
        <v>45207</v>
      </c>
      <c r="L404" s="104">
        <v>45324</v>
      </c>
      <c r="M404" s="10" t="b">
        <v>0</v>
      </c>
      <c r="N404" s="10">
        <v>118</v>
      </c>
      <c r="O404" s="11">
        <v>1135</v>
      </c>
      <c r="P404" s="85">
        <v>1.6122159090909092</v>
      </c>
      <c r="Q404" s="11">
        <v>1135</v>
      </c>
      <c r="R404" s="85">
        <v>1.6122159090909092</v>
      </c>
      <c r="S404" s="29" t="s">
        <v>1998</v>
      </c>
      <c r="T404" s="29" t="s">
        <v>2039</v>
      </c>
    </row>
    <row r="405">
      <c r="B405" s="29" t="s">
        <v>1219</v>
      </c>
      <c r="C405" s="29" t="s">
        <v>1245</v>
      </c>
      <c r="D405" s="8" t="s">
        <v>1266</v>
      </c>
      <c r="E405" s="10" t="s">
        <v>1722</v>
      </c>
      <c r="F405" s="10">
        <v>2</v>
      </c>
      <c r="G405" s="10">
        <v>1</v>
      </c>
      <c r="H405" s="10">
        <v>1</v>
      </c>
      <c r="I405" s="10"/>
      <c r="J405" s="10">
        <v>704</v>
      </c>
      <c r="K405" s="104">
        <v>45154</v>
      </c>
      <c r="L405" s="104">
        <v>45168</v>
      </c>
      <c r="M405" s="10" t="b">
        <v>0</v>
      </c>
      <c r="N405" s="10">
        <v>15</v>
      </c>
      <c r="O405" s="11">
        <v>1150</v>
      </c>
      <c r="P405" s="85">
        <v>1.6335227272727273</v>
      </c>
      <c r="Q405" s="11">
        <v>1150</v>
      </c>
      <c r="R405" s="85">
        <v>1.6335227272727273</v>
      </c>
      <c r="S405" s="29" t="s">
        <v>1998</v>
      </c>
      <c r="T405" s="29" t="s">
        <v>2039</v>
      </c>
    </row>
    <row r="406">
      <c r="B406" s="29" t="s">
        <v>1219</v>
      </c>
      <c r="C406" s="29" t="s">
        <v>1245</v>
      </c>
      <c r="D406" s="8" t="s">
        <v>1265</v>
      </c>
      <c r="E406" s="10" t="s">
        <v>1723</v>
      </c>
      <c r="F406" s="10">
        <v>2</v>
      </c>
      <c r="G406" s="10">
        <v>1</v>
      </c>
      <c r="H406" s="10">
        <v>1</v>
      </c>
      <c r="I406" s="10"/>
      <c r="J406" s="10">
        <v>704</v>
      </c>
      <c r="K406" s="104">
        <v>45219</v>
      </c>
      <c r="L406" s="104">
        <v>45322</v>
      </c>
      <c r="M406" s="10" t="b">
        <v>0</v>
      </c>
      <c r="N406" s="10">
        <v>104</v>
      </c>
      <c r="O406" s="11">
        <v>1155</v>
      </c>
      <c r="P406" s="85">
        <v>1.640625</v>
      </c>
      <c r="Q406" s="11">
        <v>1155</v>
      </c>
      <c r="R406" s="85">
        <v>1.640625</v>
      </c>
      <c r="S406" s="29" t="s">
        <v>1998</v>
      </c>
      <c r="T406" s="29" t="s">
        <v>2039</v>
      </c>
    </row>
    <row r="407">
      <c r="B407" s="29" t="s">
        <v>1219</v>
      </c>
      <c r="C407" s="29" t="s">
        <v>1245</v>
      </c>
      <c r="D407" s="8" t="s">
        <v>1266</v>
      </c>
      <c r="E407" s="10" t="s">
        <v>1724</v>
      </c>
      <c r="F407" s="10"/>
      <c r="G407" s="10">
        <v>1</v>
      </c>
      <c r="H407" s="10">
        <v>1</v>
      </c>
      <c r="I407" s="10"/>
      <c r="J407" s="10">
        <v>704</v>
      </c>
      <c r="K407" s="104">
        <v>45100</v>
      </c>
      <c r="L407" s="104">
        <v>45161</v>
      </c>
      <c r="M407" s="10" t="b">
        <v>0</v>
      </c>
      <c r="N407" s="10">
        <v>62</v>
      </c>
      <c r="O407" s="11">
        <v>1160</v>
      </c>
      <c r="P407" s="85">
        <v>1.6477272727272727</v>
      </c>
      <c r="Q407" s="11">
        <v>1160</v>
      </c>
      <c r="R407" s="85">
        <v>1.6477272727272727</v>
      </c>
      <c r="S407" s="29" t="s">
        <v>1998</v>
      </c>
      <c r="T407" s="29" t="s">
        <v>2039</v>
      </c>
    </row>
    <row r="408">
      <c r="B408" s="29" t="s">
        <v>1219</v>
      </c>
      <c r="C408" s="29" t="s">
        <v>1245</v>
      </c>
      <c r="D408" s="8" t="s">
        <v>1265</v>
      </c>
      <c r="E408" s="10" t="s">
        <v>1725</v>
      </c>
      <c r="F408" s="10"/>
      <c r="G408" s="10">
        <v>1</v>
      </c>
      <c r="H408" s="10">
        <v>1</v>
      </c>
      <c r="I408" s="10"/>
      <c r="J408" s="10">
        <v>704</v>
      </c>
      <c r="K408" s="104">
        <v>45339</v>
      </c>
      <c r="L408" s="104">
        <v>45360</v>
      </c>
      <c r="M408" s="10" t="b">
        <v>0</v>
      </c>
      <c r="N408" s="10">
        <v>22</v>
      </c>
      <c r="O408" s="11">
        <v>1190</v>
      </c>
      <c r="P408" s="85">
        <v>1.6903409090909092</v>
      </c>
      <c r="Q408" s="11">
        <v>1190</v>
      </c>
      <c r="R408" s="85">
        <v>1.6903409090909092</v>
      </c>
      <c r="S408" s="29" t="s">
        <v>1998</v>
      </c>
      <c r="T408" s="29" t="s">
        <v>2039</v>
      </c>
    </row>
    <row r="409">
      <c r="B409" s="29" t="s">
        <v>1219</v>
      </c>
      <c r="C409" s="29" t="s">
        <v>1245</v>
      </c>
      <c r="D409" s="8" t="s">
        <v>1265</v>
      </c>
      <c r="E409" s="10" t="s">
        <v>1726</v>
      </c>
      <c r="F409" s="10"/>
      <c r="G409" s="10">
        <v>1</v>
      </c>
      <c r="H409" s="10">
        <v>1</v>
      </c>
      <c r="I409" s="10"/>
      <c r="J409" s="10">
        <v>704</v>
      </c>
      <c r="K409" s="104">
        <v>45305</v>
      </c>
      <c r="L409" s="104">
        <v>45332</v>
      </c>
      <c r="M409" s="10" t="b">
        <v>0</v>
      </c>
      <c r="N409" s="10">
        <v>28</v>
      </c>
      <c r="O409" s="11">
        <v>1190</v>
      </c>
      <c r="P409" s="85">
        <v>1.6903409090909092</v>
      </c>
      <c r="Q409" s="11">
        <v>1190</v>
      </c>
      <c r="R409" s="85">
        <v>1.6903409090909092</v>
      </c>
      <c r="S409" s="29" t="s">
        <v>1998</v>
      </c>
      <c r="T409" s="29" t="s">
        <v>2039</v>
      </c>
    </row>
    <row r="410">
      <c r="B410" s="29" t="s">
        <v>1219</v>
      </c>
      <c r="C410" s="29" t="s">
        <v>1245</v>
      </c>
      <c r="D410" s="8" t="s">
        <v>1266</v>
      </c>
      <c r="E410" s="10" t="s">
        <v>1727</v>
      </c>
      <c r="F410" s="10">
        <v>1</v>
      </c>
      <c r="G410" s="10">
        <v>1</v>
      </c>
      <c r="H410" s="10">
        <v>1</v>
      </c>
      <c r="I410" s="10"/>
      <c r="J410" s="10">
        <v>704</v>
      </c>
      <c r="K410" s="104">
        <v>45097</v>
      </c>
      <c r="L410" s="104">
        <v>45169</v>
      </c>
      <c r="M410" s="10" t="b">
        <v>0</v>
      </c>
      <c r="N410" s="10">
        <v>73</v>
      </c>
      <c r="O410" s="11">
        <v>1190</v>
      </c>
      <c r="P410" s="85">
        <v>1.6903409090909092</v>
      </c>
      <c r="Q410" s="11">
        <v>1190</v>
      </c>
      <c r="R410" s="85">
        <v>1.6903409090909092</v>
      </c>
      <c r="S410" s="29" t="s">
        <v>1998</v>
      </c>
      <c r="T410" s="29" t="s">
        <v>2039</v>
      </c>
    </row>
    <row r="411">
      <c r="B411" s="29" t="s">
        <v>1219</v>
      </c>
      <c r="C411" s="29" t="s">
        <v>1245</v>
      </c>
      <c r="D411" s="8" t="s">
        <v>1266</v>
      </c>
      <c r="E411" s="10" t="s">
        <v>1728</v>
      </c>
      <c r="F411" s="10">
        <v>1</v>
      </c>
      <c r="G411" s="10">
        <v>1</v>
      </c>
      <c r="H411" s="10">
        <v>1</v>
      </c>
      <c r="I411" s="10"/>
      <c r="J411" s="10">
        <v>704</v>
      </c>
      <c r="K411" s="104">
        <v>45157</v>
      </c>
      <c r="L411" s="104">
        <v>45183</v>
      </c>
      <c r="M411" s="10" t="b">
        <v>0</v>
      </c>
      <c r="N411" s="10">
        <v>27</v>
      </c>
      <c r="O411" s="11">
        <v>1195</v>
      </c>
      <c r="P411" s="85">
        <v>1.6974431818181819</v>
      </c>
      <c r="Q411" s="11">
        <v>1195</v>
      </c>
      <c r="R411" s="85">
        <v>1.6974431818181819</v>
      </c>
      <c r="S411" s="29" t="s">
        <v>1998</v>
      </c>
      <c r="T411" s="29" t="s">
        <v>2039</v>
      </c>
    </row>
    <row r="412">
      <c r="B412" s="29" t="s">
        <v>1219</v>
      </c>
      <c r="C412" s="29" t="s">
        <v>1245</v>
      </c>
      <c r="D412" s="8" t="s">
        <v>1265</v>
      </c>
      <c r="E412" s="10" t="s">
        <v>1729</v>
      </c>
      <c r="F412" s="10"/>
      <c r="G412" s="10">
        <v>1</v>
      </c>
      <c r="H412" s="10">
        <v>1</v>
      </c>
      <c r="I412" s="10"/>
      <c r="J412" s="10">
        <v>704</v>
      </c>
      <c r="K412" s="104">
        <v>45205</v>
      </c>
      <c r="L412" s="104">
        <v>45363</v>
      </c>
      <c r="M412" s="10" t="b">
        <v>0</v>
      </c>
      <c r="N412" s="10">
        <v>159</v>
      </c>
      <c r="O412" s="11">
        <v>1200</v>
      </c>
      <c r="P412" s="85">
        <v>1.7045454545454546</v>
      </c>
      <c r="Q412" s="11">
        <v>1200</v>
      </c>
      <c r="R412" s="85">
        <v>1.7045454545454546</v>
      </c>
      <c r="S412" s="29" t="s">
        <v>1998</v>
      </c>
      <c r="T412" s="29" t="s">
        <v>2039</v>
      </c>
    </row>
    <row r="413">
      <c r="B413" s="29" t="s">
        <v>1219</v>
      </c>
      <c r="C413" s="29" t="s">
        <v>1245</v>
      </c>
      <c r="D413" s="8" t="s">
        <v>1265</v>
      </c>
      <c r="E413" s="10" t="s">
        <v>1730</v>
      </c>
      <c r="F413" s="10"/>
      <c r="G413" s="10">
        <v>1</v>
      </c>
      <c r="H413" s="10">
        <v>1</v>
      </c>
      <c r="I413" s="10"/>
      <c r="J413" s="10">
        <v>704</v>
      </c>
      <c r="K413" s="104">
        <v>45325</v>
      </c>
      <c r="L413" s="104">
        <v>45345</v>
      </c>
      <c r="M413" s="10" t="b">
        <v>0</v>
      </c>
      <c r="N413" s="10">
        <v>21</v>
      </c>
      <c r="O413" s="11">
        <v>1205</v>
      </c>
      <c r="P413" s="85">
        <v>1.7116477272727273</v>
      </c>
      <c r="Q413" s="11">
        <v>1205</v>
      </c>
      <c r="R413" s="85">
        <v>1.7116477272727273</v>
      </c>
      <c r="S413" s="29" t="s">
        <v>1998</v>
      </c>
      <c r="T413" s="29" t="s">
        <v>2039</v>
      </c>
    </row>
    <row r="414">
      <c r="B414" s="29" t="s">
        <v>1219</v>
      </c>
      <c r="C414" s="29" t="s">
        <v>1245</v>
      </c>
      <c r="D414" s="8" t="s">
        <v>1265</v>
      </c>
      <c r="E414" s="10" t="s">
        <v>1731</v>
      </c>
      <c r="F414" s="10">
        <v>1</v>
      </c>
      <c r="G414" s="10">
        <v>1</v>
      </c>
      <c r="H414" s="10">
        <v>1</v>
      </c>
      <c r="I414" s="10"/>
      <c r="J414" s="10">
        <v>704</v>
      </c>
      <c r="K414" s="104">
        <v>45360</v>
      </c>
      <c r="L414" s="104">
        <v>45390</v>
      </c>
      <c r="M414" s="10" t="b">
        <v>0</v>
      </c>
      <c r="N414" s="10">
        <v>31</v>
      </c>
      <c r="O414" s="11">
        <v>1220</v>
      </c>
      <c r="P414" s="85">
        <v>1.7329545454545454</v>
      </c>
      <c r="Q414" s="11">
        <v>1220</v>
      </c>
      <c r="R414" s="85">
        <v>1.7329545454545454</v>
      </c>
      <c r="S414" s="29" t="s">
        <v>1998</v>
      </c>
      <c r="T414" s="29" t="s">
        <v>2039</v>
      </c>
    </row>
    <row r="415">
      <c r="B415" s="29" t="s">
        <v>1219</v>
      </c>
      <c r="C415" s="29" t="s">
        <v>1245</v>
      </c>
      <c r="D415" s="8" t="s">
        <v>1265</v>
      </c>
      <c r="E415" s="10" t="s">
        <v>1732</v>
      </c>
      <c r="F415" s="10"/>
      <c r="G415" s="10">
        <v>1</v>
      </c>
      <c r="H415" s="10">
        <v>1</v>
      </c>
      <c r="I415" s="10"/>
      <c r="J415" s="10">
        <v>704</v>
      </c>
      <c r="K415" s="104">
        <v>45258</v>
      </c>
      <c r="L415" s="104">
        <v>45356</v>
      </c>
      <c r="M415" s="10" t="b">
        <v>0</v>
      </c>
      <c r="N415" s="10">
        <v>99</v>
      </c>
      <c r="O415" s="11">
        <v>1230</v>
      </c>
      <c r="P415" s="85">
        <v>1.7471590909090908</v>
      </c>
      <c r="Q415" s="11">
        <v>1230</v>
      </c>
      <c r="R415" s="85">
        <v>1.7471590909090908</v>
      </c>
      <c r="S415" s="29" t="s">
        <v>1998</v>
      </c>
      <c r="T415" s="29" t="s">
        <v>2039</v>
      </c>
    </row>
    <row r="416">
      <c r="B416" s="29" t="s">
        <v>1219</v>
      </c>
      <c r="C416" s="29" t="s">
        <v>1245</v>
      </c>
      <c r="D416" s="8" t="s">
        <v>1265</v>
      </c>
      <c r="E416" s="10" t="s">
        <v>1733</v>
      </c>
      <c r="F416" s="10">
        <v>1</v>
      </c>
      <c r="G416" s="10">
        <v>1</v>
      </c>
      <c r="H416" s="10">
        <v>1</v>
      </c>
      <c r="I416" s="10"/>
      <c r="J416" s="10">
        <v>704</v>
      </c>
      <c r="K416" s="104">
        <v>45134</v>
      </c>
      <c r="L416" s="104">
        <v>45326</v>
      </c>
      <c r="M416" s="10" t="b">
        <v>0</v>
      </c>
      <c r="N416" s="10">
        <v>193</v>
      </c>
      <c r="O416" s="11">
        <v>1255</v>
      </c>
      <c r="P416" s="85">
        <v>1.7826704545454546</v>
      </c>
      <c r="Q416" s="11">
        <v>1255</v>
      </c>
      <c r="R416" s="85">
        <v>1.7826704545454546</v>
      </c>
      <c r="S416" s="29" t="s">
        <v>1998</v>
      </c>
      <c r="T416" s="29" t="s">
        <v>2039</v>
      </c>
    </row>
    <row r="417">
      <c r="B417" s="29" t="s">
        <v>1219</v>
      </c>
      <c r="C417" s="29" t="s">
        <v>1245</v>
      </c>
      <c r="D417" s="8" t="s">
        <v>1266</v>
      </c>
      <c r="E417" s="10" t="s">
        <v>1734</v>
      </c>
      <c r="F417" s="10"/>
      <c r="G417" s="10">
        <v>1</v>
      </c>
      <c r="H417" s="10">
        <v>1</v>
      </c>
      <c r="I417" s="10"/>
      <c r="J417" s="10">
        <v>704</v>
      </c>
      <c r="K417" s="104"/>
      <c r="L417" s="104">
        <v>45135</v>
      </c>
      <c r="M417" s="10" t="b">
        <v>0</v>
      </c>
      <c r="N417" s="10"/>
      <c r="O417" s="11">
        <v>1290</v>
      </c>
      <c r="P417" s="85">
        <v>1.8323863636363635</v>
      </c>
      <c r="Q417" s="11">
        <v>1290</v>
      </c>
      <c r="R417" s="85">
        <v>1.8323863636363635</v>
      </c>
      <c r="S417" s="29" t="s">
        <v>1998</v>
      </c>
      <c r="T417" s="29" t="s">
        <v>2039</v>
      </c>
    </row>
    <row r="418">
      <c r="B418" s="29" t="s">
        <v>1219</v>
      </c>
      <c r="C418" s="29" t="s">
        <v>1245</v>
      </c>
      <c r="D418" s="8" t="s">
        <v>1266</v>
      </c>
      <c r="E418" s="10" t="s">
        <v>1735</v>
      </c>
      <c r="F418" s="10"/>
      <c r="G418" s="10">
        <v>1</v>
      </c>
      <c r="H418" s="10">
        <v>1</v>
      </c>
      <c r="I418" s="10"/>
      <c r="J418" s="10">
        <v>704</v>
      </c>
      <c r="K418" s="104"/>
      <c r="L418" s="104">
        <v>45134</v>
      </c>
      <c r="M418" s="10" t="b">
        <v>0</v>
      </c>
      <c r="N418" s="10"/>
      <c r="O418" s="11">
        <v>1300</v>
      </c>
      <c r="P418" s="85">
        <v>1.8465909090909092</v>
      </c>
      <c r="Q418" s="11">
        <v>1300</v>
      </c>
      <c r="R418" s="85">
        <v>1.8465909090909092</v>
      </c>
      <c r="S418" s="29" t="s">
        <v>1998</v>
      </c>
      <c r="T418" s="29" t="s">
        <v>2039</v>
      </c>
    </row>
    <row r="419">
      <c r="B419" s="29" t="s">
        <v>1219</v>
      </c>
      <c r="C419" s="29" t="s">
        <v>1245</v>
      </c>
      <c r="D419" s="8" t="s">
        <v>1267</v>
      </c>
      <c r="E419" s="10" t="s">
        <v>1736</v>
      </c>
      <c r="F419" s="10"/>
      <c r="G419" s="10">
        <v>2</v>
      </c>
      <c r="H419" s="10">
        <v>1</v>
      </c>
      <c r="I419" s="10"/>
      <c r="J419" s="10">
        <v>896</v>
      </c>
      <c r="K419" s="104">
        <v>45502</v>
      </c>
      <c r="L419" s="104">
        <v>45654</v>
      </c>
      <c r="M419" s="10" t="b">
        <v>0</v>
      </c>
      <c r="N419" s="10">
        <v>153</v>
      </c>
      <c r="O419" s="11">
        <v>1280</v>
      </c>
      <c r="P419" s="85">
        <v>1.4285714285714286</v>
      </c>
      <c r="Q419" s="11">
        <v>1280</v>
      </c>
      <c r="R419" s="85">
        <v>1.4285714285714286</v>
      </c>
      <c r="S419" s="29" t="s">
        <v>2011</v>
      </c>
      <c r="T419" s="29" t="s">
        <v>2038</v>
      </c>
    </row>
    <row r="420">
      <c r="B420" s="29" t="s">
        <v>1219</v>
      </c>
      <c r="C420" s="29" t="s">
        <v>1245</v>
      </c>
      <c r="D420" s="8" t="s">
        <v>1267</v>
      </c>
      <c r="E420" s="10" t="s">
        <v>1737</v>
      </c>
      <c r="F420" s="10"/>
      <c r="G420" s="10">
        <v>2</v>
      </c>
      <c r="H420" s="10">
        <v>1</v>
      </c>
      <c r="I420" s="10"/>
      <c r="J420" s="10">
        <v>896</v>
      </c>
      <c r="K420" s="104">
        <v>45520</v>
      </c>
      <c r="L420" s="104">
        <v>45687</v>
      </c>
      <c r="M420" s="10" t="b">
        <v>0</v>
      </c>
      <c r="N420" s="10">
        <v>168</v>
      </c>
      <c r="O420" s="11">
        <v>1295</v>
      </c>
      <c r="P420" s="85">
        <v>1.4453125</v>
      </c>
      <c r="Q420" s="11">
        <v>1295</v>
      </c>
      <c r="R420" s="85">
        <v>1.4453125</v>
      </c>
      <c r="S420" s="29" t="s">
        <v>2017</v>
      </c>
      <c r="T420" s="29" t="s">
        <v>2041</v>
      </c>
    </row>
    <row r="421">
      <c r="B421" s="29" t="s">
        <v>1219</v>
      </c>
      <c r="C421" s="29" t="s">
        <v>1245</v>
      </c>
      <c r="D421" s="8" t="s">
        <v>1267</v>
      </c>
      <c r="E421" s="10" t="s">
        <v>1738</v>
      </c>
      <c r="F421" s="10"/>
      <c r="G421" s="10">
        <v>2</v>
      </c>
      <c r="H421" s="10">
        <v>1</v>
      </c>
      <c r="I421" s="10"/>
      <c r="J421" s="10">
        <v>896</v>
      </c>
      <c r="K421" s="104">
        <v>45631</v>
      </c>
      <c r="L421" s="104">
        <v>45685</v>
      </c>
      <c r="M421" s="10" t="b">
        <v>0</v>
      </c>
      <c r="N421" s="10">
        <v>55</v>
      </c>
      <c r="O421" s="11">
        <v>1295</v>
      </c>
      <c r="P421" s="85">
        <v>1.4453125</v>
      </c>
      <c r="Q421" s="11">
        <v>1295</v>
      </c>
      <c r="R421" s="85">
        <v>1.4453125</v>
      </c>
      <c r="S421" s="29" t="s">
        <v>2017</v>
      </c>
      <c r="T421" s="29" t="s">
        <v>2041</v>
      </c>
    </row>
    <row r="422">
      <c r="B422" s="29" t="s">
        <v>1219</v>
      </c>
      <c r="C422" s="29" t="s">
        <v>1245</v>
      </c>
      <c r="D422" s="8" t="s">
        <v>1267</v>
      </c>
      <c r="E422" s="10" t="s">
        <v>1739</v>
      </c>
      <c r="F422" s="10"/>
      <c r="G422" s="10">
        <v>2</v>
      </c>
      <c r="H422" s="10">
        <v>1</v>
      </c>
      <c r="I422" s="10"/>
      <c r="J422" s="10">
        <v>896</v>
      </c>
      <c r="K422" s="104">
        <v>45415</v>
      </c>
      <c r="L422" s="104">
        <v>45688</v>
      </c>
      <c r="M422" s="10" t="b">
        <v>0</v>
      </c>
      <c r="N422" s="10">
        <v>274</v>
      </c>
      <c r="O422" s="11">
        <v>1295</v>
      </c>
      <c r="P422" s="85">
        <v>1.4453125</v>
      </c>
      <c r="Q422" s="11">
        <v>1295</v>
      </c>
      <c r="R422" s="85">
        <v>1.4453125</v>
      </c>
      <c r="S422" s="29" t="s">
        <v>2011</v>
      </c>
      <c r="T422" s="29" t="s">
        <v>2038</v>
      </c>
    </row>
    <row r="423">
      <c r="B423" s="29" t="s">
        <v>1219</v>
      </c>
      <c r="C423" s="29" t="s">
        <v>1245</v>
      </c>
      <c r="D423" s="8" t="s">
        <v>1267</v>
      </c>
      <c r="E423" s="10" t="s">
        <v>1740</v>
      </c>
      <c r="F423" s="10"/>
      <c r="G423" s="10">
        <v>2</v>
      </c>
      <c r="H423" s="10">
        <v>1</v>
      </c>
      <c r="I423" s="10"/>
      <c r="J423" s="10">
        <v>896</v>
      </c>
      <c r="K423" s="104">
        <v>45422</v>
      </c>
      <c r="L423" s="104">
        <v>45698</v>
      </c>
      <c r="M423" s="10" t="b">
        <v>0</v>
      </c>
      <c r="N423" s="10">
        <v>277</v>
      </c>
      <c r="O423" s="11">
        <v>1300</v>
      </c>
      <c r="P423" s="85">
        <v>1.4508928571428572</v>
      </c>
      <c r="Q423" s="11">
        <v>1300</v>
      </c>
      <c r="R423" s="85">
        <v>1.4508928571428572</v>
      </c>
      <c r="S423" s="29" t="s">
        <v>2011</v>
      </c>
      <c r="T423" s="29" t="s">
        <v>2038</v>
      </c>
    </row>
    <row r="424">
      <c r="B424" s="29" t="s">
        <v>1219</v>
      </c>
      <c r="C424" s="29" t="s">
        <v>1245</v>
      </c>
      <c r="D424" s="8" t="s">
        <v>1267</v>
      </c>
      <c r="E424" s="10" t="s">
        <v>1741</v>
      </c>
      <c r="F424" s="10">
        <v>2</v>
      </c>
      <c r="G424" s="10">
        <v>2</v>
      </c>
      <c r="H424" s="10">
        <v>1</v>
      </c>
      <c r="I424" s="10"/>
      <c r="J424" s="10">
        <v>896</v>
      </c>
      <c r="K424" s="104">
        <v>45598</v>
      </c>
      <c r="L424" s="104">
        <v>45692</v>
      </c>
      <c r="M424" s="10" t="b">
        <v>0</v>
      </c>
      <c r="N424" s="10">
        <v>95</v>
      </c>
      <c r="O424" s="11">
        <v>1300</v>
      </c>
      <c r="P424" s="85">
        <v>1.4508928571428572</v>
      </c>
      <c r="Q424" s="11">
        <v>1300</v>
      </c>
      <c r="R424" s="85">
        <v>1.4508928571428572</v>
      </c>
      <c r="S424" s="29" t="s">
        <v>2011</v>
      </c>
      <c r="T424" s="29" t="s">
        <v>2038</v>
      </c>
    </row>
    <row r="425">
      <c r="B425" s="29" t="s">
        <v>1219</v>
      </c>
      <c r="C425" s="29" t="s">
        <v>1245</v>
      </c>
      <c r="D425" s="8" t="s">
        <v>1267</v>
      </c>
      <c r="E425" s="10" t="s">
        <v>1742</v>
      </c>
      <c r="F425" s="10"/>
      <c r="G425" s="10">
        <v>2</v>
      </c>
      <c r="H425" s="10">
        <v>1</v>
      </c>
      <c r="I425" s="10"/>
      <c r="J425" s="10">
        <v>896</v>
      </c>
      <c r="K425" s="104">
        <v>45716</v>
      </c>
      <c r="L425" s="104"/>
      <c r="M425" s="10" t="b">
        <v>1</v>
      </c>
      <c r="N425" s="10"/>
      <c r="O425" s="11">
        <v>1305</v>
      </c>
      <c r="P425" s="85">
        <v>1.4564732142857142</v>
      </c>
      <c r="Q425" s="11">
        <v>1263</v>
      </c>
      <c r="R425" s="85">
        <v>1.4095982142857142</v>
      </c>
      <c r="S425" s="29" t="s">
        <v>2013</v>
      </c>
      <c r="T425" s="29" t="s">
        <v>2040</v>
      </c>
    </row>
    <row r="426">
      <c r="B426" s="29" t="s">
        <v>1219</v>
      </c>
      <c r="C426" s="29" t="s">
        <v>1245</v>
      </c>
      <c r="D426" s="8" t="s">
        <v>1267</v>
      </c>
      <c r="E426" s="10" t="s">
        <v>1743</v>
      </c>
      <c r="F426" s="10"/>
      <c r="G426" s="10">
        <v>2</v>
      </c>
      <c r="H426" s="10">
        <v>1</v>
      </c>
      <c r="I426" s="10"/>
      <c r="J426" s="10">
        <v>896</v>
      </c>
      <c r="K426" s="104">
        <v>45712</v>
      </c>
      <c r="L426" s="104"/>
      <c r="M426" s="10" t="b">
        <v>1</v>
      </c>
      <c r="N426" s="10"/>
      <c r="O426" s="11">
        <v>1305</v>
      </c>
      <c r="P426" s="85">
        <v>1.4564732142857142</v>
      </c>
      <c r="Q426" s="11">
        <v>1263</v>
      </c>
      <c r="R426" s="85">
        <v>1.4095982142857142</v>
      </c>
      <c r="S426" s="29" t="s">
        <v>2013</v>
      </c>
      <c r="T426" s="29" t="s">
        <v>2040</v>
      </c>
    </row>
    <row r="427">
      <c r="B427" s="29" t="s">
        <v>1219</v>
      </c>
      <c r="C427" s="29" t="s">
        <v>1245</v>
      </c>
      <c r="D427" s="8" t="s">
        <v>1267</v>
      </c>
      <c r="E427" s="10" t="s">
        <v>1744</v>
      </c>
      <c r="F427" s="10"/>
      <c r="G427" s="10">
        <v>2</v>
      </c>
      <c r="H427" s="10">
        <v>1</v>
      </c>
      <c r="I427" s="10"/>
      <c r="J427" s="10">
        <v>896</v>
      </c>
      <c r="K427" s="104">
        <v>45573</v>
      </c>
      <c r="L427" s="104"/>
      <c r="M427" s="10" t="b">
        <v>1</v>
      </c>
      <c r="N427" s="10"/>
      <c r="O427" s="11">
        <v>1305</v>
      </c>
      <c r="P427" s="85">
        <v>1.4564732142857142</v>
      </c>
      <c r="Q427" s="11">
        <v>1263</v>
      </c>
      <c r="R427" s="85">
        <v>1.4095982142857142</v>
      </c>
      <c r="S427" s="29" t="s">
        <v>2013</v>
      </c>
      <c r="T427" s="29" t="s">
        <v>2040</v>
      </c>
    </row>
    <row r="428">
      <c r="B428" s="29" t="s">
        <v>1219</v>
      </c>
      <c r="C428" s="29" t="s">
        <v>1245</v>
      </c>
      <c r="D428" s="8" t="s">
        <v>1267</v>
      </c>
      <c r="E428" s="10" t="s">
        <v>1745</v>
      </c>
      <c r="F428" s="10"/>
      <c r="G428" s="10">
        <v>2</v>
      </c>
      <c r="H428" s="10">
        <v>1</v>
      </c>
      <c r="I428" s="10"/>
      <c r="J428" s="10">
        <v>896</v>
      </c>
      <c r="K428" s="104">
        <v>45735</v>
      </c>
      <c r="L428" s="104"/>
      <c r="M428" s="10" t="b">
        <v>1</v>
      </c>
      <c r="N428" s="10"/>
      <c r="O428" s="11">
        <v>1305</v>
      </c>
      <c r="P428" s="85">
        <v>1.4564732142857142</v>
      </c>
      <c r="Q428" s="11">
        <v>1263</v>
      </c>
      <c r="R428" s="85">
        <v>1.4095982142857142</v>
      </c>
      <c r="S428" s="29" t="s">
        <v>2013</v>
      </c>
      <c r="T428" s="29" t="s">
        <v>2040</v>
      </c>
    </row>
    <row r="429">
      <c r="B429" s="29" t="s">
        <v>1219</v>
      </c>
      <c r="C429" s="29" t="s">
        <v>1245</v>
      </c>
      <c r="D429" s="8" t="s">
        <v>1267</v>
      </c>
      <c r="E429" s="10" t="s">
        <v>1746</v>
      </c>
      <c r="F429" s="10"/>
      <c r="G429" s="10">
        <v>2</v>
      </c>
      <c r="H429" s="10">
        <v>1</v>
      </c>
      <c r="I429" s="10"/>
      <c r="J429" s="10">
        <v>896</v>
      </c>
      <c r="K429" s="104">
        <v>45709</v>
      </c>
      <c r="L429" s="104"/>
      <c r="M429" s="10" t="b">
        <v>1</v>
      </c>
      <c r="N429" s="10"/>
      <c r="O429" s="11">
        <v>1305</v>
      </c>
      <c r="P429" s="85">
        <v>1.4564732142857142</v>
      </c>
      <c r="Q429" s="11">
        <v>1263</v>
      </c>
      <c r="R429" s="85">
        <v>1.4095982142857142</v>
      </c>
      <c r="S429" s="29" t="s">
        <v>2013</v>
      </c>
      <c r="T429" s="29" t="s">
        <v>2040</v>
      </c>
    </row>
    <row r="430">
      <c r="B430" s="29" t="s">
        <v>1219</v>
      </c>
      <c r="C430" s="29" t="s">
        <v>1245</v>
      </c>
      <c r="D430" s="8" t="s">
        <v>1267</v>
      </c>
      <c r="E430" s="10" t="s">
        <v>1747</v>
      </c>
      <c r="F430" s="10"/>
      <c r="G430" s="10">
        <v>2</v>
      </c>
      <c r="H430" s="10">
        <v>1</v>
      </c>
      <c r="I430" s="10"/>
      <c r="J430" s="10">
        <v>896</v>
      </c>
      <c r="K430" s="104">
        <v>45668</v>
      </c>
      <c r="L430" s="104"/>
      <c r="M430" s="10" t="b">
        <v>1</v>
      </c>
      <c r="N430" s="10"/>
      <c r="O430" s="11">
        <v>1305</v>
      </c>
      <c r="P430" s="85">
        <v>1.4564732142857142</v>
      </c>
      <c r="Q430" s="11">
        <v>1263</v>
      </c>
      <c r="R430" s="85">
        <v>1.4095982142857142</v>
      </c>
      <c r="S430" s="29" t="s">
        <v>2013</v>
      </c>
      <c r="T430" s="29" t="s">
        <v>2040</v>
      </c>
    </row>
    <row r="431">
      <c r="B431" s="29" t="s">
        <v>1219</v>
      </c>
      <c r="C431" s="29" t="s">
        <v>1245</v>
      </c>
      <c r="D431" s="8" t="s">
        <v>1267</v>
      </c>
      <c r="E431" s="10" t="s">
        <v>1748</v>
      </c>
      <c r="F431" s="10">
        <v>2</v>
      </c>
      <c r="G431" s="10">
        <v>2</v>
      </c>
      <c r="H431" s="10">
        <v>1</v>
      </c>
      <c r="I431" s="10"/>
      <c r="J431" s="10">
        <v>896</v>
      </c>
      <c r="K431" s="104">
        <v>45533</v>
      </c>
      <c r="L431" s="104">
        <v>45661</v>
      </c>
      <c r="M431" s="10" t="b">
        <v>0</v>
      </c>
      <c r="N431" s="10">
        <v>129</v>
      </c>
      <c r="O431" s="11">
        <v>1305</v>
      </c>
      <c r="P431" s="85">
        <v>1.4564732142857142</v>
      </c>
      <c r="Q431" s="11">
        <v>1305</v>
      </c>
      <c r="R431" s="85">
        <v>1.4564732142857142</v>
      </c>
      <c r="S431" s="29" t="s">
        <v>2011</v>
      </c>
      <c r="T431" s="29" t="s">
        <v>2038</v>
      </c>
    </row>
    <row r="432">
      <c r="B432" s="29" t="s">
        <v>1219</v>
      </c>
      <c r="C432" s="29" t="s">
        <v>1245</v>
      </c>
      <c r="D432" s="8" t="s">
        <v>1267</v>
      </c>
      <c r="E432" s="10" t="s">
        <v>1749</v>
      </c>
      <c r="F432" s="10"/>
      <c r="G432" s="10">
        <v>2</v>
      </c>
      <c r="H432" s="10">
        <v>1</v>
      </c>
      <c r="I432" s="10"/>
      <c r="J432" s="10">
        <v>896</v>
      </c>
      <c r="K432" s="104">
        <v>45690</v>
      </c>
      <c r="L432" s="104">
        <v>45784</v>
      </c>
      <c r="M432" s="10" t="b">
        <v>0</v>
      </c>
      <c r="N432" s="10">
        <v>95</v>
      </c>
      <c r="O432" s="11">
        <v>1310</v>
      </c>
      <c r="P432" s="85">
        <v>1.4620535714285714</v>
      </c>
      <c r="Q432" s="11">
        <v>1268</v>
      </c>
      <c r="R432" s="85">
        <v>1.4151785714285714</v>
      </c>
      <c r="S432" s="29" t="s">
        <v>2013</v>
      </c>
      <c r="T432" s="29" t="s">
        <v>2040</v>
      </c>
    </row>
    <row r="433">
      <c r="B433" s="29" t="s">
        <v>1219</v>
      </c>
      <c r="C433" s="29" t="s">
        <v>1245</v>
      </c>
      <c r="D433" s="8" t="s">
        <v>1267</v>
      </c>
      <c r="E433" s="10" t="s">
        <v>1750</v>
      </c>
      <c r="F433" s="10"/>
      <c r="G433" s="10">
        <v>2</v>
      </c>
      <c r="H433" s="10">
        <v>1</v>
      </c>
      <c r="I433" s="10"/>
      <c r="J433" s="10">
        <v>896</v>
      </c>
      <c r="K433" s="104">
        <v>45539</v>
      </c>
      <c r="L433" s="104">
        <v>45586</v>
      </c>
      <c r="M433" s="10" t="b">
        <v>0</v>
      </c>
      <c r="N433" s="10">
        <v>48</v>
      </c>
      <c r="O433" s="11">
        <v>1310</v>
      </c>
      <c r="P433" s="85">
        <v>1.4620535714285714</v>
      </c>
      <c r="Q433" s="11">
        <v>1268</v>
      </c>
      <c r="R433" s="85">
        <v>1.4151785714285714</v>
      </c>
      <c r="S433" s="29" t="s">
        <v>2011</v>
      </c>
      <c r="T433" s="29" t="s">
        <v>2038</v>
      </c>
    </row>
    <row r="434">
      <c r="B434" s="29" t="s">
        <v>1219</v>
      </c>
      <c r="C434" s="29" t="s">
        <v>1245</v>
      </c>
      <c r="D434" s="8" t="s">
        <v>1267</v>
      </c>
      <c r="E434" s="10" t="s">
        <v>1751</v>
      </c>
      <c r="F434" s="10"/>
      <c r="G434" s="10">
        <v>2</v>
      </c>
      <c r="H434" s="10">
        <v>1</v>
      </c>
      <c r="I434" s="10"/>
      <c r="J434" s="10">
        <v>896</v>
      </c>
      <c r="K434" s="104">
        <v>45582</v>
      </c>
      <c r="L434" s="104">
        <v>45585</v>
      </c>
      <c r="M434" s="10" t="b">
        <v>0</v>
      </c>
      <c r="N434" s="10">
        <v>4</v>
      </c>
      <c r="O434" s="11">
        <v>1310</v>
      </c>
      <c r="P434" s="85">
        <v>1.4620535714285714</v>
      </c>
      <c r="Q434" s="11">
        <v>1310</v>
      </c>
      <c r="R434" s="85">
        <v>1.4620535714285714</v>
      </c>
      <c r="S434" s="29" t="s">
        <v>2011</v>
      </c>
      <c r="T434" s="29" t="s">
        <v>2038</v>
      </c>
    </row>
    <row r="435">
      <c r="B435" s="29" t="s">
        <v>1219</v>
      </c>
      <c r="C435" s="29" t="s">
        <v>1245</v>
      </c>
      <c r="D435" s="8" t="s">
        <v>1267</v>
      </c>
      <c r="E435" s="10" t="s">
        <v>1752</v>
      </c>
      <c r="F435" s="10"/>
      <c r="G435" s="10">
        <v>2</v>
      </c>
      <c r="H435" s="10">
        <v>1</v>
      </c>
      <c r="I435" s="10"/>
      <c r="J435" s="10">
        <v>896</v>
      </c>
      <c r="K435" s="104">
        <v>45688</v>
      </c>
      <c r="L435" s="104"/>
      <c r="M435" s="10" t="b">
        <v>1</v>
      </c>
      <c r="N435" s="10"/>
      <c r="O435" s="11">
        <v>1315</v>
      </c>
      <c r="P435" s="85">
        <v>1.4676339285714286</v>
      </c>
      <c r="Q435" s="11">
        <v>1273</v>
      </c>
      <c r="R435" s="85">
        <v>1.4207589285714286</v>
      </c>
      <c r="S435" s="29" t="s">
        <v>2018</v>
      </c>
      <c r="T435" s="29" t="s">
        <v>2042</v>
      </c>
    </row>
    <row r="436">
      <c r="B436" s="29" t="s">
        <v>1219</v>
      </c>
      <c r="C436" s="29" t="s">
        <v>1245</v>
      </c>
      <c r="D436" s="8" t="s">
        <v>1267</v>
      </c>
      <c r="E436" s="10" t="s">
        <v>1753</v>
      </c>
      <c r="F436" s="10"/>
      <c r="G436" s="10">
        <v>2</v>
      </c>
      <c r="H436" s="10">
        <v>1</v>
      </c>
      <c r="I436" s="10"/>
      <c r="J436" s="10">
        <v>896</v>
      </c>
      <c r="K436" s="104">
        <v>45604</v>
      </c>
      <c r="L436" s="104"/>
      <c r="M436" s="10" t="b">
        <v>1</v>
      </c>
      <c r="N436" s="10"/>
      <c r="O436" s="11">
        <v>1315</v>
      </c>
      <c r="P436" s="85">
        <v>1.4676339285714286</v>
      </c>
      <c r="Q436" s="11">
        <v>1273</v>
      </c>
      <c r="R436" s="85">
        <v>1.4207589285714286</v>
      </c>
      <c r="S436" s="29" t="s">
        <v>2013</v>
      </c>
      <c r="T436" s="29" t="s">
        <v>2040</v>
      </c>
    </row>
    <row r="437">
      <c r="B437" s="29" t="s">
        <v>1219</v>
      </c>
      <c r="C437" s="29" t="s">
        <v>1245</v>
      </c>
      <c r="D437" s="8" t="s">
        <v>1267</v>
      </c>
      <c r="E437" s="10" t="s">
        <v>1754</v>
      </c>
      <c r="F437" s="10"/>
      <c r="G437" s="10">
        <v>2</v>
      </c>
      <c r="H437" s="10">
        <v>1</v>
      </c>
      <c r="I437" s="10"/>
      <c r="J437" s="10">
        <v>896</v>
      </c>
      <c r="K437" s="104">
        <v>45693</v>
      </c>
      <c r="L437" s="104"/>
      <c r="M437" s="10" t="b">
        <v>1</v>
      </c>
      <c r="N437" s="10"/>
      <c r="O437" s="11">
        <v>1315</v>
      </c>
      <c r="P437" s="85">
        <v>1.4676339285714286</v>
      </c>
      <c r="Q437" s="11">
        <v>1273</v>
      </c>
      <c r="R437" s="85">
        <v>1.4207589285714286</v>
      </c>
      <c r="S437" s="29" t="s">
        <v>2018</v>
      </c>
      <c r="T437" s="29" t="s">
        <v>2042</v>
      </c>
    </row>
    <row r="438">
      <c r="B438" s="29" t="s">
        <v>1219</v>
      </c>
      <c r="C438" s="29" t="s">
        <v>1245</v>
      </c>
      <c r="D438" s="8" t="s">
        <v>1267</v>
      </c>
      <c r="E438" s="10" t="s">
        <v>1755</v>
      </c>
      <c r="F438" s="10">
        <v>2</v>
      </c>
      <c r="G438" s="10">
        <v>2</v>
      </c>
      <c r="H438" s="10">
        <v>1</v>
      </c>
      <c r="I438" s="10"/>
      <c r="J438" s="10">
        <v>896</v>
      </c>
      <c r="K438" s="104">
        <v>45763</v>
      </c>
      <c r="L438" s="104"/>
      <c r="M438" s="10" t="b">
        <v>1</v>
      </c>
      <c r="N438" s="10"/>
      <c r="O438" s="11">
        <v>1315</v>
      </c>
      <c r="P438" s="85">
        <v>1.4676339285714286</v>
      </c>
      <c r="Q438" s="11">
        <v>1315</v>
      </c>
      <c r="R438" s="85">
        <v>1.4676339285714286</v>
      </c>
      <c r="S438" s="29" t="s">
        <v>2013</v>
      </c>
      <c r="T438" s="29" t="s">
        <v>2040</v>
      </c>
    </row>
    <row r="439">
      <c r="B439" s="29" t="s">
        <v>1219</v>
      </c>
      <c r="C439" s="29" t="s">
        <v>1245</v>
      </c>
      <c r="D439" s="8" t="s">
        <v>1267</v>
      </c>
      <c r="E439" s="10" t="s">
        <v>1756</v>
      </c>
      <c r="F439" s="10"/>
      <c r="G439" s="10">
        <v>2</v>
      </c>
      <c r="H439" s="10">
        <v>1</v>
      </c>
      <c r="I439" s="10"/>
      <c r="J439" s="10">
        <v>896</v>
      </c>
      <c r="K439" s="104">
        <v>45589</v>
      </c>
      <c r="L439" s="104">
        <v>45670</v>
      </c>
      <c r="M439" s="10" t="b">
        <v>0</v>
      </c>
      <c r="N439" s="10">
        <v>82</v>
      </c>
      <c r="O439" s="11">
        <v>1315</v>
      </c>
      <c r="P439" s="85">
        <v>1.4676339285714286</v>
      </c>
      <c r="Q439" s="11">
        <v>1315</v>
      </c>
      <c r="R439" s="85">
        <v>1.4676339285714286</v>
      </c>
      <c r="S439" s="29" t="s">
        <v>2011</v>
      </c>
      <c r="T439" s="29" t="s">
        <v>2038</v>
      </c>
    </row>
    <row r="440">
      <c r="B440" s="29" t="s">
        <v>1219</v>
      </c>
      <c r="C440" s="29" t="s">
        <v>1245</v>
      </c>
      <c r="D440" s="8" t="s">
        <v>1267</v>
      </c>
      <c r="E440" s="10" t="s">
        <v>1757</v>
      </c>
      <c r="F440" s="10"/>
      <c r="G440" s="10">
        <v>2</v>
      </c>
      <c r="H440" s="10">
        <v>1</v>
      </c>
      <c r="I440" s="10"/>
      <c r="J440" s="10">
        <v>896</v>
      </c>
      <c r="K440" s="104">
        <v>45784</v>
      </c>
      <c r="L440" s="104"/>
      <c r="M440" s="10" t="b">
        <v>1</v>
      </c>
      <c r="N440" s="10"/>
      <c r="O440" s="11">
        <v>1315</v>
      </c>
      <c r="P440" s="85">
        <v>1.4676339285714286</v>
      </c>
      <c r="Q440" s="11">
        <v>1315</v>
      </c>
      <c r="R440" s="85">
        <v>1.4676339285714286</v>
      </c>
      <c r="S440" s="29" t="s">
        <v>2013</v>
      </c>
      <c r="T440" s="29" t="s">
        <v>2040</v>
      </c>
    </row>
    <row r="441">
      <c r="B441" s="29" t="s">
        <v>1219</v>
      </c>
      <c r="C441" s="29" t="s">
        <v>1245</v>
      </c>
      <c r="D441" s="8" t="s">
        <v>1267</v>
      </c>
      <c r="E441" s="10" t="s">
        <v>1758</v>
      </c>
      <c r="F441" s="10"/>
      <c r="G441" s="10">
        <v>2</v>
      </c>
      <c r="H441" s="10">
        <v>1</v>
      </c>
      <c r="I441" s="10"/>
      <c r="J441" s="10">
        <v>896</v>
      </c>
      <c r="K441" s="104">
        <v>45513</v>
      </c>
      <c r="L441" s="104">
        <v>45591</v>
      </c>
      <c r="M441" s="10" t="b">
        <v>0</v>
      </c>
      <c r="N441" s="10">
        <v>79</v>
      </c>
      <c r="O441" s="11">
        <v>1320</v>
      </c>
      <c r="P441" s="85">
        <v>1.4732142857142858</v>
      </c>
      <c r="Q441" s="11">
        <v>1278</v>
      </c>
      <c r="R441" s="85">
        <v>1.4263392857142858</v>
      </c>
      <c r="S441" s="29" t="s">
        <v>2011</v>
      </c>
      <c r="T441" s="29" t="s">
        <v>2038</v>
      </c>
    </row>
    <row r="442">
      <c r="B442" s="29" t="s">
        <v>1219</v>
      </c>
      <c r="C442" s="29" t="s">
        <v>1245</v>
      </c>
      <c r="D442" s="8" t="s">
        <v>1267</v>
      </c>
      <c r="E442" s="10" t="s">
        <v>1759</v>
      </c>
      <c r="F442" s="10"/>
      <c r="G442" s="10">
        <v>2</v>
      </c>
      <c r="H442" s="10">
        <v>1</v>
      </c>
      <c r="I442" s="10"/>
      <c r="J442" s="10">
        <v>896</v>
      </c>
      <c r="K442" s="104">
        <v>45456</v>
      </c>
      <c r="L442" s="104">
        <v>45716</v>
      </c>
      <c r="M442" s="10" t="b">
        <v>0</v>
      </c>
      <c r="N442" s="10">
        <v>261</v>
      </c>
      <c r="O442" s="11">
        <v>1325</v>
      </c>
      <c r="P442" s="85">
        <v>1.4787946428571428</v>
      </c>
      <c r="Q442" s="11">
        <v>1325</v>
      </c>
      <c r="R442" s="85">
        <v>1.4787946428571428</v>
      </c>
      <c r="S442" s="29" t="s">
        <v>2011</v>
      </c>
      <c r="T442" s="29" t="s">
        <v>2038</v>
      </c>
    </row>
    <row r="443">
      <c r="B443" s="29" t="s">
        <v>1219</v>
      </c>
      <c r="C443" s="29" t="s">
        <v>1245</v>
      </c>
      <c r="D443" s="8" t="s">
        <v>1267</v>
      </c>
      <c r="E443" s="10" t="s">
        <v>1760</v>
      </c>
      <c r="F443" s="10"/>
      <c r="G443" s="10">
        <v>2</v>
      </c>
      <c r="H443" s="10">
        <v>1</v>
      </c>
      <c r="I443" s="10"/>
      <c r="J443" s="10">
        <v>896</v>
      </c>
      <c r="K443" s="104">
        <v>45780</v>
      </c>
      <c r="L443" s="104"/>
      <c r="M443" s="10" t="b">
        <v>1</v>
      </c>
      <c r="N443" s="10"/>
      <c r="O443" s="11">
        <v>1325</v>
      </c>
      <c r="P443" s="85">
        <v>1.4787946428571428</v>
      </c>
      <c r="Q443" s="11">
        <v>1283</v>
      </c>
      <c r="R443" s="85">
        <v>1.4319196428571428</v>
      </c>
      <c r="S443" s="29" t="s">
        <v>2013</v>
      </c>
      <c r="T443" s="29" t="s">
        <v>2040</v>
      </c>
    </row>
    <row r="444">
      <c r="B444" s="29" t="s">
        <v>1219</v>
      </c>
      <c r="C444" s="29" t="s">
        <v>1245</v>
      </c>
      <c r="D444" s="8" t="s">
        <v>1267</v>
      </c>
      <c r="E444" s="10" t="s">
        <v>1761</v>
      </c>
      <c r="F444" s="10"/>
      <c r="G444" s="10">
        <v>2</v>
      </c>
      <c r="H444" s="10">
        <v>1</v>
      </c>
      <c r="I444" s="10"/>
      <c r="J444" s="10">
        <v>896</v>
      </c>
      <c r="K444" s="104">
        <v>45631</v>
      </c>
      <c r="L444" s="104">
        <v>45692</v>
      </c>
      <c r="M444" s="10" t="b">
        <v>0</v>
      </c>
      <c r="N444" s="10">
        <v>62</v>
      </c>
      <c r="O444" s="11">
        <v>1325</v>
      </c>
      <c r="P444" s="85">
        <v>1.4787946428571428</v>
      </c>
      <c r="Q444" s="11">
        <v>1325</v>
      </c>
      <c r="R444" s="85">
        <v>1.4787946428571428</v>
      </c>
      <c r="S444" s="29" t="s">
        <v>2012</v>
      </c>
      <c r="T444" s="29" t="s">
        <v>2038</v>
      </c>
    </row>
    <row r="445">
      <c r="B445" s="29" t="s">
        <v>1219</v>
      </c>
      <c r="C445" s="29" t="s">
        <v>1245</v>
      </c>
      <c r="D445" s="8" t="s">
        <v>1267</v>
      </c>
      <c r="E445" s="10" t="s">
        <v>1762</v>
      </c>
      <c r="F445" s="10">
        <v>2</v>
      </c>
      <c r="G445" s="10">
        <v>2</v>
      </c>
      <c r="H445" s="10">
        <v>1</v>
      </c>
      <c r="I445" s="10"/>
      <c r="J445" s="10">
        <v>896</v>
      </c>
      <c r="K445" s="104">
        <v>45665</v>
      </c>
      <c r="L445" s="104">
        <v>45697</v>
      </c>
      <c r="M445" s="10" t="b">
        <v>0</v>
      </c>
      <c r="N445" s="10">
        <v>33</v>
      </c>
      <c r="O445" s="11">
        <v>1325</v>
      </c>
      <c r="P445" s="85">
        <v>1.4787946428571428</v>
      </c>
      <c r="Q445" s="11">
        <v>1325</v>
      </c>
      <c r="R445" s="85">
        <v>1.4787946428571428</v>
      </c>
      <c r="S445" s="29" t="s">
        <v>2014</v>
      </c>
      <c r="T445" s="29" t="s">
        <v>2038</v>
      </c>
    </row>
    <row r="446">
      <c r="B446" s="29" t="s">
        <v>1219</v>
      </c>
      <c r="C446" s="29" t="s">
        <v>1245</v>
      </c>
      <c r="D446" s="8" t="s">
        <v>1267</v>
      </c>
      <c r="E446" s="10" t="s">
        <v>1763</v>
      </c>
      <c r="F446" s="10"/>
      <c r="G446" s="10">
        <v>2</v>
      </c>
      <c r="H446" s="10">
        <v>1</v>
      </c>
      <c r="I446" s="10"/>
      <c r="J446" s="10">
        <v>896</v>
      </c>
      <c r="K446" s="104">
        <v>45761</v>
      </c>
      <c r="L446" s="104"/>
      <c r="M446" s="10" t="b">
        <v>1</v>
      </c>
      <c r="N446" s="10"/>
      <c r="O446" s="11">
        <v>1325</v>
      </c>
      <c r="P446" s="85">
        <v>1.4787946428571428</v>
      </c>
      <c r="Q446" s="11">
        <v>1325</v>
      </c>
      <c r="R446" s="85">
        <v>1.4787946428571428</v>
      </c>
      <c r="S446" s="29" t="s">
        <v>2013</v>
      </c>
      <c r="T446" s="29" t="s">
        <v>2040</v>
      </c>
    </row>
    <row r="447">
      <c r="B447" s="29" t="s">
        <v>1219</v>
      </c>
      <c r="C447" s="29" t="s">
        <v>1245</v>
      </c>
      <c r="D447" s="8" t="s">
        <v>1267</v>
      </c>
      <c r="E447" s="10" t="s">
        <v>1764</v>
      </c>
      <c r="F447" s="10"/>
      <c r="G447" s="10">
        <v>2</v>
      </c>
      <c r="H447" s="10">
        <v>1</v>
      </c>
      <c r="I447" s="10"/>
      <c r="J447" s="10">
        <v>896</v>
      </c>
      <c r="K447" s="104">
        <v>45777</v>
      </c>
      <c r="L447" s="104">
        <v>45781</v>
      </c>
      <c r="M447" s="10" t="b">
        <v>0</v>
      </c>
      <c r="N447" s="10">
        <v>5</v>
      </c>
      <c r="O447" s="11">
        <v>1325</v>
      </c>
      <c r="P447" s="85">
        <v>1.4787946428571428</v>
      </c>
      <c r="Q447" s="11">
        <v>1325</v>
      </c>
      <c r="R447" s="85">
        <v>1.4787946428571428</v>
      </c>
      <c r="S447" s="29" t="s">
        <v>2013</v>
      </c>
      <c r="T447" s="29" t="s">
        <v>2040</v>
      </c>
    </row>
    <row r="448">
      <c r="B448" s="29" t="s">
        <v>1219</v>
      </c>
      <c r="C448" s="29" t="s">
        <v>1245</v>
      </c>
      <c r="D448" s="8" t="s">
        <v>1267</v>
      </c>
      <c r="E448" s="10" t="s">
        <v>1765</v>
      </c>
      <c r="F448" s="10"/>
      <c r="G448" s="10">
        <v>2</v>
      </c>
      <c r="H448" s="10">
        <v>1</v>
      </c>
      <c r="I448" s="10"/>
      <c r="J448" s="10">
        <v>896</v>
      </c>
      <c r="K448" s="104">
        <v>45777</v>
      </c>
      <c r="L448" s="104">
        <v>45779</v>
      </c>
      <c r="M448" s="10" t="b">
        <v>0</v>
      </c>
      <c r="N448" s="10">
        <v>3</v>
      </c>
      <c r="O448" s="11">
        <v>1325</v>
      </c>
      <c r="P448" s="85">
        <v>1.4787946428571428</v>
      </c>
      <c r="Q448" s="11">
        <v>1325</v>
      </c>
      <c r="R448" s="85">
        <v>1.4787946428571428</v>
      </c>
      <c r="S448" s="29" t="s">
        <v>2013</v>
      </c>
      <c r="T448" s="29" t="s">
        <v>2040</v>
      </c>
    </row>
    <row r="449">
      <c r="B449" s="29" t="s">
        <v>1219</v>
      </c>
      <c r="C449" s="29" t="s">
        <v>1245</v>
      </c>
      <c r="D449" s="8" t="s">
        <v>1267</v>
      </c>
      <c r="E449" s="10" t="s">
        <v>1766</v>
      </c>
      <c r="F449" s="10"/>
      <c r="G449" s="10">
        <v>2</v>
      </c>
      <c r="H449" s="10">
        <v>1</v>
      </c>
      <c r="I449" s="10"/>
      <c r="J449" s="10">
        <v>896</v>
      </c>
      <c r="K449" s="104">
        <v>45665</v>
      </c>
      <c r="L449" s="104">
        <v>45693</v>
      </c>
      <c r="M449" s="10" t="b">
        <v>0</v>
      </c>
      <c r="N449" s="10">
        <v>29</v>
      </c>
      <c r="O449" s="11">
        <v>1330</v>
      </c>
      <c r="P449" s="85">
        <v>1.484375</v>
      </c>
      <c r="Q449" s="11">
        <v>1330</v>
      </c>
      <c r="R449" s="85">
        <v>1.484375</v>
      </c>
      <c r="S449" s="29" t="s">
        <v>2011</v>
      </c>
      <c r="T449" s="29" t="s">
        <v>2038</v>
      </c>
    </row>
    <row r="450">
      <c r="B450" s="29" t="s">
        <v>1219</v>
      </c>
      <c r="C450" s="29" t="s">
        <v>1245</v>
      </c>
      <c r="D450" s="8" t="s">
        <v>1267</v>
      </c>
      <c r="E450" s="10" t="s">
        <v>1767</v>
      </c>
      <c r="F450" s="10">
        <v>1</v>
      </c>
      <c r="G450" s="10">
        <v>2</v>
      </c>
      <c r="H450" s="10">
        <v>1</v>
      </c>
      <c r="I450" s="10"/>
      <c r="J450" s="10">
        <v>896</v>
      </c>
      <c r="K450" s="104">
        <v>45644</v>
      </c>
      <c r="L450" s="104"/>
      <c r="M450" s="10" t="b">
        <v>1</v>
      </c>
      <c r="N450" s="10"/>
      <c r="O450" s="11">
        <v>1330</v>
      </c>
      <c r="P450" s="85">
        <v>1.484375</v>
      </c>
      <c r="Q450" s="11">
        <v>1288</v>
      </c>
      <c r="R450" s="85">
        <v>1.4375</v>
      </c>
      <c r="S450" s="29" t="s">
        <v>2019</v>
      </c>
      <c r="T450" s="29" t="s">
        <v>2040</v>
      </c>
    </row>
    <row r="451">
      <c r="B451" s="29" t="s">
        <v>1219</v>
      </c>
      <c r="C451" s="29" t="s">
        <v>1245</v>
      </c>
      <c r="D451" s="8" t="s">
        <v>1267</v>
      </c>
      <c r="E451" s="10" t="s">
        <v>1768</v>
      </c>
      <c r="F451" s="10"/>
      <c r="G451" s="10">
        <v>2</v>
      </c>
      <c r="H451" s="10">
        <v>1</v>
      </c>
      <c r="I451" s="10"/>
      <c r="J451" s="10">
        <v>896</v>
      </c>
      <c r="K451" s="104">
        <v>45603</v>
      </c>
      <c r="L451" s="104"/>
      <c r="M451" s="10" t="b">
        <v>1</v>
      </c>
      <c r="N451" s="10"/>
      <c r="O451" s="11">
        <v>1330</v>
      </c>
      <c r="P451" s="85">
        <v>1.484375</v>
      </c>
      <c r="Q451" s="11">
        <v>1288</v>
      </c>
      <c r="R451" s="85">
        <v>1.4375</v>
      </c>
      <c r="S451" s="29" t="s">
        <v>2019</v>
      </c>
      <c r="T451" s="29" t="s">
        <v>2040</v>
      </c>
    </row>
    <row r="452">
      <c r="B452" s="29" t="s">
        <v>1219</v>
      </c>
      <c r="C452" s="29" t="s">
        <v>1245</v>
      </c>
      <c r="D452" s="8" t="s">
        <v>1267</v>
      </c>
      <c r="E452" s="10" t="s">
        <v>1769</v>
      </c>
      <c r="F452" s="10"/>
      <c r="G452" s="10">
        <v>2</v>
      </c>
      <c r="H452" s="10">
        <v>1</v>
      </c>
      <c r="I452" s="10"/>
      <c r="J452" s="10">
        <v>896</v>
      </c>
      <c r="K452" s="104">
        <v>45687</v>
      </c>
      <c r="L452" s="104">
        <v>45780</v>
      </c>
      <c r="M452" s="10" t="b">
        <v>0</v>
      </c>
      <c r="N452" s="10">
        <v>94</v>
      </c>
      <c r="O452" s="11">
        <v>1330</v>
      </c>
      <c r="P452" s="85">
        <v>1.484375</v>
      </c>
      <c r="Q452" s="11">
        <v>1330</v>
      </c>
      <c r="R452" s="85">
        <v>1.484375</v>
      </c>
      <c r="S452" s="29" t="s">
        <v>2013</v>
      </c>
      <c r="T452" s="29" t="s">
        <v>2040</v>
      </c>
    </row>
    <row r="453">
      <c r="B453" s="29" t="s">
        <v>1219</v>
      </c>
      <c r="C453" s="29" t="s">
        <v>1245</v>
      </c>
      <c r="D453" s="8" t="s">
        <v>1267</v>
      </c>
      <c r="E453" s="10" t="s">
        <v>1770</v>
      </c>
      <c r="F453" s="10"/>
      <c r="G453" s="10">
        <v>2</v>
      </c>
      <c r="H453" s="10">
        <v>1</v>
      </c>
      <c r="I453" s="10"/>
      <c r="J453" s="10">
        <v>896</v>
      </c>
      <c r="K453" s="104">
        <v>45770</v>
      </c>
      <c r="L453" s="104"/>
      <c r="M453" s="10" t="b">
        <v>1</v>
      </c>
      <c r="N453" s="10"/>
      <c r="O453" s="11">
        <v>1330</v>
      </c>
      <c r="P453" s="85">
        <v>1.484375</v>
      </c>
      <c r="Q453" s="11">
        <v>1330</v>
      </c>
      <c r="R453" s="85">
        <v>1.484375</v>
      </c>
      <c r="S453" s="29" t="s">
        <v>2016</v>
      </c>
      <c r="T453" s="29" t="s">
        <v>2040</v>
      </c>
    </row>
    <row r="454">
      <c r="B454" s="29" t="s">
        <v>1219</v>
      </c>
      <c r="C454" s="29" t="s">
        <v>1245</v>
      </c>
      <c r="D454" s="8" t="s">
        <v>1267</v>
      </c>
      <c r="E454" s="10" t="s">
        <v>1771</v>
      </c>
      <c r="F454" s="10"/>
      <c r="G454" s="10">
        <v>2</v>
      </c>
      <c r="H454" s="10">
        <v>1</v>
      </c>
      <c r="I454" s="10"/>
      <c r="J454" s="10">
        <v>896</v>
      </c>
      <c r="K454" s="104">
        <v>45764</v>
      </c>
      <c r="L454" s="104"/>
      <c r="M454" s="10" t="b">
        <v>1</v>
      </c>
      <c r="N454" s="10"/>
      <c r="O454" s="11">
        <v>1330</v>
      </c>
      <c r="P454" s="85">
        <v>1.484375</v>
      </c>
      <c r="Q454" s="11">
        <v>1288</v>
      </c>
      <c r="R454" s="85">
        <v>1.4375</v>
      </c>
      <c r="S454" s="29" t="s">
        <v>2019</v>
      </c>
      <c r="T454" s="29" t="s">
        <v>2040</v>
      </c>
    </row>
    <row r="455">
      <c r="B455" s="29" t="s">
        <v>1219</v>
      </c>
      <c r="C455" s="29" t="s">
        <v>1245</v>
      </c>
      <c r="D455" s="8" t="s">
        <v>1267</v>
      </c>
      <c r="E455" s="10" t="s">
        <v>1772</v>
      </c>
      <c r="F455" s="10"/>
      <c r="G455" s="10">
        <v>2</v>
      </c>
      <c r="H455" s="10">
        <v>1</v>
      </c>
      <c r="I455" s="10"/>
      <c r="J455" s="10">
        <v>896</v>
      </c>
      <c r="K455" s="104">
        <v>45659</v>
      </c>
      <c r="L455" s="104"/>
      <c r="M455" s="10" t="b">
        <v>1</v>
      </c>
      <c r="N455" s="10"/>
      <c r="O455" s="11">
        <v>1335</v>
      </c>
      <c r="P455" s="85">
        <v>1.4899553571428572</v>
      </c>
      <c r="Q455" s="11">
        <v>1293</v>
      </c>
      <c r="R455" s="85">
        <v>1.4430803571428572</v>
      </c>
      <c r="S455" s="29" t="s">
        <v>2020</v>
      </c>
      <c r="T455" s="29" t="s">
        <v>2040</v>
      </c>
    </row>
    <row r="456">
      <c r="B456" s="29" t="s">
        <v>1219</v>
      </c>
      <c r="C456" s="29" t="s">
        <v>1245</v>
      </c>
      <c r="D456" s="8" t="s">
        <v>1267</v>
      </c>
      <c r="E456" s="10" t="s">
        <v>1773</v>
      </c>
      <c r="F456" s="10"/>
      <c r="G456" s="10">
        <v>2</v>
      </c>
      <c r="H456" s="10">
        <v>1</v>
      </c>
      <c r="I456" s="10"/>
      <c r="J456" s="10">
        <v>896</v>
      </c>
      <c r="K456" s="104">
        <v>45328</v>
      </c>
      <c r="L456" s="104">
        <v>45562</v>
      </c>
      <c r="M456" s="10" t="b">
        <v>0</v>
      </c>
      <c r="N456" s="10">
        <v>235</v>
      </c>
      <c r="O456" s="11">
        <v>1335</v>
      </c>
      <c r="P456" s="85">
        <v>1.4899553571428572</v>
      </c>
      <c r="Q456" s="11">
        <v>1285</v>
      </c>
      <c r="R456" s="85">
        <v>1.4341517857142858</v>
      </c>
      <c r="S456" s="29" t="s">
        <v>2011</v>
      </c>
      <c r="T456" s="29" t="s">
        <v>2038</v>
      </c>
    </row>
    <row r="457">
      <c r="B457" s="29" t="s">
        <v>1219</v>
      </c>
      <c r="C457" s="29" t="s">
        <v>1245</v>
      </c>
      <c r="D457" s="8" t="s">
        <v>1267</v>
      </c>
      <c r="E457" s="10" t="s">
        <v>1774</v>
      </c>
      <c r="F457" s="10"/>
      <c r="G457" s="10">
        <v>2</v>
      </c>
      <c r="H457" s="10">
        <v>1</v>
      </c>
      <c r="I457" s="10"/>
      <c r="J457" s="10">
        <v>896</v>
      </c>
      <c r="K457" s="104">
        <v>45530</v>
      </c>
      <c r="L457" s="104">
        <v>45554</v>
      </c>
      <c r="M457" s="10" t="b">
        <v>0</v>
      </c>
      <c r="N457" s="10">
        <v>25</v>
      </c>
      <c r="O457" s="11">
        <v>1335</v>
      </c>
      <c r="P457" s="85">
        <v>1.4899553571428572</v>
      </c>
      <c r="Q457" s="11">
        <v>1290</v>
      </c>
      <c r="R457" s="85">
        <v>1.4397321428571428</v>
      </c>
      <c r="S457" s="29" t="s">
        <v>2017</v>
      </c>
      <c r="T457" s="29" t="s">
        <v>2041</v>
      </c>
    </row>
    <row r="458">
      <c r="B458" s="29" t="s">
        <v>1219</v>
      </c>
      <c r="C458" s="29" t="s">
        <v>1245</v>
      </c>
      <c r="D458" s="8" t="s">
        <v>1267</v>
      </c>
      <c r="E458" s="10" t="s">
        <v>1775</v>
      </c>
      <c r="F458" s="10"/>
      <c r="G458" s="10">
        <v>2</v>
      </c>
      <c r="H458" s="10">
        <v>1</v>
      </c>
      <c r="I458" s="10"/>
      <c r="J458" s="10">
        <v>896</v>
      </c>
      <c r="K458" s="104">
        <v>45526</v>
      </c>
      <c r="L458" s="104">
        <v>45574</v>
      </c>
      <c r="M458" s="10" t="b">
        <v>0</v>
      </c>
      <c r="N458" s="10">
        <v>49</v>
      </c>
      <c r="O458" s="11">
        <v>1335</v>
      </c>
      <c r="P458" s="85">
        <v>1.4899553571428572</v>
      </c>
      <c r="Q458" s="11">
        <v>1335</v>
      </c>
      <c r="R458" s="85">
        <v>1.4899553571428572</v>
      </c>
      <c r="S458" s="29" t="s">
        <v>2011</v>
      </c>
      <c r="T458" s="29" t="s">
        <v>2038</v>
      </c>
    </row>
    <row r="459">
      <c r="B459" s="29" t="s">
        <v>1219</v>
      </c>
      <c r="C459" s="29" t="s">
        <v>1245</v>
      </c>
      <c r="D459" s="8" t="s">
        <v>1267</v>
      </c>
      <c r="E459" s="10" t="s">
        <v>1776</v>
      </c>
      <c r="F459" s="10"/>
      <c r="G459" s="10">
        <v>2</v>
      </c>
      <c r="H459" s="10">
        <v>1</v>
      </c>
      <c r="I459" s="10"/>
      <c r="J459" s="10">
        <v>896</v>
      </c>
      <c r="K459" s="104">
        <v>45717</v>
      </c>
      <c r="L459" s="104"/>
      <c r="M459" s="10" t="b">
        <v>1</v>
      </c>
      <c r="N459" s="10"/>
      <c r="O459" s="11">
        <v>1340</v>
      </c>
      <c r="P459" s="85">
        <v>1.4955357142857142</v>
      </c>
      <c r="Q459" s="11">
        <v>1298</v>
      </c>
      <c r="R459" s="85">
        <v>1.4486607142857142</v>
      </c>
      <c r="S459" s="29" t="s">
        <v>2021</v>
      </c>
      <c r="T459" s="29" t="s">
        <v>2042</v>
      </c>
    </row>
    <row r="460">
      <c r="B460" s="29" t="s">
        <v>1219</v>
      </c>
      <c r="C460" s="29" t="s">
        <v>1245</v>
      </c>
      <c r="D460" s="8" t="s">
        <v>1267</v>
      </c>
      <c r="E460" s="10" t="s">
        <v>1777</v>
      </c>
      <c r="F460" s="10"/>
      <c r="G460" s="10">
        <v>2</v>
      </c>
      <c r="H460" s="10">
        <v>1</v>
      </c>
      <c r="I460" s="10"/>
      <c r="J460" s="10">
        <v>896</v>
      </c>
      <c r="K460" s="104">
        <v>45743</v>
      </c>
      <c r="L460" s="104"/>
      <c r="M460" s="10" t="b">
        <v>1</v>
      </c>
      <c r="N460" s="10"/>
      <c r="O460" s="11">
        <v>1340</v>
      </c>
      <c r="P460" s="85">
        <v>1.4955357142857142</v>
      </c>
      <c r="Q460" s="11">
        <v>1298</v>
      </c>
      <c r="R460" s="85">
        <v>1.4486607142857142</v>
      </c>
      <c r="S460" s="29" t="s">
        <v>2022</v>
      </c>
      <c r="T460" s="29" t="s">
        <v>2040</v>
      </c>
    </row>
    <row r="461">
      <c r="B461" s="29" t="s">
        <v>1219</v>
      </c>
      <c r="C461" s="29" t="s">
        <v>1245</v>
      </c>
      <c r="D461" s="8" t="s">
        <v>1267</v>
      </c>
      <c r="E461" s="10" t="s">
        <v>1778</v>
      </c>
      <c r="F461" s="10"/>
      <c r="G461" s="10">
        <v>2</v>
      </c>
      <c r="H461" s="10">
        <v>1</v>
      </c>
      <c r="I461" s="10"/>
      <c r="J461" s="10">
        <v>896</v>
      </c>
      <c r="K461" s="104">
        <v>45631</v>
      </c>
      <c r="L461" s="104"/>
      <c r="M461" s="10" t="b">
        <v>1</v>
      </c>
      <c r="N461" s="10"/>
      <c r="O461" s="11">
        <v>1340</v>
      </c>
      <c r="P461" s="85">
        <v>1.4955357142857142</v>
      </c>
      <c r="Q461" s="11">
        <v>1298</v>
      </c>
      <c r="R461" s="85">
        <v>1.4486607142857142</v>
      </c>
      <c r="S461" s="29" t="s">
        <v>2022</v>
      </c>
      <c r="T461" s="29" t="s">
        <v>2040</v>
      </c>
    </row>
    <row r="462">
      <c r="B462" s="29" t="s">
        <v>1219</v>
      </c>
      <c r="C462" s="29" t="s">
        <v>1245</v>
      </c>
      <c r="D462" s="8" t="s">
        <v>1267</v>
      </c>
      <c r="E462" s="10" t="s">
        <v>1779</v>
      </c>
      <c r="F462" s="10"/>
      <c r="G462" s="10">
        <v>2</v>
      </c>
      <c r="H462" s="10">
        <v>1</v>
      </c>
      <c r="I462" s="10"/>
      <c r="J462" s="10">
        <v>896</v>
      </c>
      <c r="K462" s="104">
        <v>45430</v>
      </c>
      <c r="L462" s="104">
        <v>45541</v>
      </c>
      <c r="M462" s="10" t="b">
        <v>0</v>
      </c>
      <c r="N462" s="10">
        <v>112</v>
      </c>
      <c r="O462" s="11">
        <v>1340</v>
      </c>
      <c r="P462" s="85">
        <v>1.4955357142857142</v>
      </c>
      <c r="Q462" s="11">
        <v>1340</v>
      </c>
      <c r="R462" s="85">
        <v>1.4955357142857142</v>
      </c>
      <c r="S462" s="29" t="s">
        <v>2023</v>
      </c>
      <c r="T462" s="29" t="s">
        <v>2041</v>
      </c>
    </row>
    <row r="463">
      <c r="B463" s="29" t="s">
        <v>1219</v>
      </c>
      <c r="C463" s="29" t="s">
        <v>1245</v>
      </c>
      <c r="D463" s="8" t="s">
        <v>1267</v>
      </c>
      <c r="E463" s="10" t="s">
        <v>1780</v>
      </c>
      <c r="F463" s="10">
        <v>2</v>
      </c>
      <c r="G463" s="10">
        <v>2</v>
      </c>
      <c r="H463" s="10">
        <v>1</v>
      </c>
      <c r="I463" s="10"/>
      <c r="J463" s="10">
        <v>896</v>
      </c>
      <c r="K463" s="104">
        <v>45588</v>
      </c>
      <c r="L463" s="104">
        <v>45593</v>
      </c>
      <c r="M463" s="10" t="b">
        <v>0</v>
      </c>
      <c r="N463" s="10">
        <v>6</v>
      </c>
      <c r="O463" s="11">
        <v>1340</v>
      </c>
      <c r="P463" s="85">
        <v>1.4955357142857142</v>
      </c>
      <c r="Q463" s="11">
        <v>1295</v>
      </c>
      <c r="R463" s="85">
        <v>1.4453125</v>
      </c>
      <c r="S463" s="29" t="s">
        <v>2017</v>
      </c>
      <c r="T463" s="29" t="s">
        <v>2041</v>
      </c>
    </row>
    <row r="464">
      <c r="B464" s="29" t="s">
        <v>1219</v>
      </c>
      <c r="C464" s="29" t="s">
        <v>1245</v>
      </c>
      <c r="D464" s="8" t="s">
        <v>1267</v>
      </c>
      <c r="E464" s="10" t="s">
        <v>1781</v>
      </c>
      <c r="F464" s="10">
        <v>2</v>
      </c>
      <c r="G464" s="10">
        <v>2</v>
      </c>
      <c r="H464" s="10">
        <v>1</v>
      </c>
      <c r="I464" s="10"/>
      <c r="J464" s="10">
        <v>896</v>
      </c>
      <c r="K464" s="104">
        <v>45572</v>
      </c>
      <c r="L464" s="104">
        <v>45685</v>
      </c>
      <c r="M464" s="10" t="b">
        <v>0</v>
      </c>
      <c r="N464" s="10">
        <v>114</v>
      </c>
      <c r="O464" s="11">
        <v>1340</v>
      </c>
      <c r="P464" s="85">
        <v>1.4955357142857142</v>
      </c>
      <c r="Q464" s="11">
        <v>1340</v>
      </c>
      <c r="R464" s="85">
        <v>1.4955357142857142</v>
      </c>
      <c r="S464" s="29" t="s">
        <v>2014</v>
      </c>
      <c r="T464" s="29" t="s">
        <v>2038</v>
      </c>
    </row>
    <row r="465">
      <c r="B465" s="29" t="s">
        <v>1219</v>
      </c>
      <c r="C465" s="29" t="s">
        <v>1245</v>
      </c>
      <c r="D465" s="8" t="s">
        <v>1267</v>
      </c>
      <c r="E465" s="10" t="s">
        <v>1782</v>
      </c>
      <c r="F465" s="10"/>
      <c r="G465" s="10">
        <v>2</v>
      </c>
      <c r="H465" s="10">
        <v>1</v>
      </c>
      <c r="I465" s="10"/>
      <c r="J465" s="10">
        <v>896</v>
      </c>
      <c r="K465" s="104">
        <v>45749</v>
      </c>
      <c r="L465" s="104"/>
      <c r="M465" s="10" t="b">
        <v>1</v>
      </c>
      <c r="N465" s="10"/>
      <c r="O465" s="11">
        <v>1340</v>
      </c>
      <c r="P465" s="85">
        <v>1.4955357142857142</v>
      </c>
      <c r="Q465" s="11">
        <v>1340</v>
      </c>
      <c r="R465" s="85">
        <v>1.4955357142857142</v>
      </c>
      <c r="S465" s="29" t="s">
        <v>2019</v>
      </c>
      <c r="T465" s="29" t="s">
        <v>2040</v>
      </c>
    </row>
    <row r="466">
      <c r="B466" s="29" t="s">
        <v>1219</v>
      </c>
      <c r="C466" s="29" t="s">
        <v>1245</v>
      </c>
      <c r="D466" s="8" t="s">
        <v>1267</v>
      </c>
      <c r="E466" s="10" t="s">
        <v>1783</v>
      </c>
      <c r="F466" s="10"/>
      <c r="G466" s="10">
        <v>2</v>
      </c>
      <c r="H466" s="10">
        <v>1</v>
      </c>
      <c r="I466" s="10"/>
      <c r="J466" s="10">
        <v>896</v>
      </c>
      <c r="K466" s="104">
        <v>45554</v>
      </c>
      <c r="L466" s="104">
        <v>45603</v>
      </c>
      <c r="M466" s="10" t="b">
        <v>0</v>
      </c>
      <c r="N466" s="10">
        <v>50</v>
      </c>
      <c r="O466" s="11">
        <v>1345</v>
      </c>
      <c r="P466" s="85">
        <v>1.5011160714285714</v>
      </c>
      <c r="Q466" s="11">
        <v>1300</v>
      </c>
      <c r="R466" s="85">
        <v>1.4508928571428572</v>
      </c>
      <c r="S466" s="29" t="s">
        <v>2014</v>
      </c>
      <c r="T466" s="29" t="s">
        <v>2038</v>
      </c>
    </row>
    <row r="467">
      <c r="B467" s="29" t="s">
        <v>1219</v>
      </c>
      <c r="C467" s="29" t="s">
        <v>1245</v>
      </c>
      <c r="D467" s="8" t="s">
        <v>1267</v>
      </c>
      <c r="E467" s="10" t="s">
        <v>1784</v>
      </c>
      <c r="F467" s="10"/>
      <c r="G467" s="10">
        <v>2</v>
      </c>
      <c r="H467" s="10">
        <v>1</v>
      </c>
      <c r="I467" s="10"/>
      <c r="J467" s="10">
        <v>896</v>
      </c>
      <c r="K467" s="104">
        <v>45649</v>
      </c>
      <c r="L467" s="104">
        <v>45672</v>
      </c>
      <c r="M467" s="10" t="b">
        <v>0</v>
      </c>
      <c r="N467" s="10">
        <v>24</v>
      </c>
      <c r="O467" s="11">
        <v>1350</v>
      </c>
      <c r="P467" s="85">
        <v>1.5066964285714286</v>
      </c>
      <c r="Q467" s="11">
        <v>1350</v>
      </c>
      <c r="R467" s="85">
        <v>1.5066964285714286</v>
      </c>
      <c r="S467" s="29" t="s">
        <v>2024</v>
      </c>
      <c r="T467" s="29" t="s">
        <v>2041</v>
      </c>
    </row>
    <row r="468">
      <c r="B468" s="29" t="s">
        <v>1219</v>
      </c>
      <c r="C468" s="29" t="s">
        <v>1245</v>
      </c>
      <c r="D468" s="8" t="s">
        <v>1267</v>
      </c>
      <c r="E468" s="10" t="s">
        <v>1785</v>
      </c>
      <c r="F468" s="10"/>
      <c r="G468" s="10">
        <v>2</v>
      </c>
      <c r="H468" s="10">
        <v>1</v>
      </c>
      <c r="I468" s="10"/>
      <c r="J468" s="10">
        <v>896</v>
      </c>
      <c r="K468" s="104">
        <v>45631</v>
      </c>
      <c r="L468" s="104">
        <v>45712</v>
      </c>
      <c r="M468" s="10" t="b">
        <v>0</v>
      </c>
      <c r="N468" s="10">
        <v>82</v>
      </c>
      <c r="O468" s="11">
        <v>1350</v>
      </c>
      <c r="P468" s="85">
        <v>1.5066964285714286</v>
      </c>
      <c r="Q468" s="11">
        <v>1350</v>
      </c>
      <c r="R468" s="85">
        <v>1.5066964285714286</v>
      </c>
      <c r="S468" s="29" t="s">
        <v>2017</v>
      </c>
      <c r="T468" s="29" t="s">
        <v>2041</v>
      </c>
    </row>
    <row r="469">
      <c r="B469" s="29" t="s">
        <v>1219</v>
      </c>
      <c r="C469" s="29" t="s">
        <v>1245</v>
      </c>
      <c r="D469" s="8" t="s">
        <v>1267</v>
      </c>
      <c r="E469" s="10" t="s">
        <v>1786</v>
      </c>
      <c r="F469" s="10"/>
      <c r="G469" s="10">
        <v>2</v>
      </c>
      <c r="H469" s="10">
        <v>1</v>
      </c>
      <c r="I469" s="10"/>
      <c r="J469" s="10">
        <v>896</v>
      </c>
      <c r="K469" s="104">
        <v>45709</v>
      </c>
      <c r="L469" s="104">
        <v>45715</v>
      </c>
      <c r="M469" s="10" t="b">
        <v>0</v>
      </c>
      <c r="N469" s="10">
        <v>7</v>
      </c>
      <c r="O469" s="11">
        <v>1350</v>
      </c>
      <c r="P469" s="85">
        <v>1.5066964285714286</v>
      </c>
      <c r="Q469" s="11">
        <v>1350</v>
      </c>
      <c r="R469" s="85">
        <v>1.5066964285714286</v>
      </c>
      <c r="S469" s="29" t="s">
        <v>2011</v>
      </c>
      <c r="T469" s="29" t="s">
        <v>2038</v>
      </c>
    </row>
    <row r="470">
      <c r="B470" s="29" t="s">
        <v>1219</v>
      </c>
      <c r="C470" s="29" t="s">
        <v>1245</v>
      </c>
      <c r="D470" s="8" t="s">
        <v>1267</v>
      </c>
      <c r="E470" s="10" t="s">
        <v>1787</v>
      </c>
      <c r="F470" s="10"/>
      <c r="G470" s="10">
        <v>2</v>
      </c>
      <c r="H470" s="10">
        <v>1</v>
      </c>
      <c r="I470" s="10"/>
      <c r="J470" s="10">
        <v>896</v>
      </c>
      <c r="K470" s="104">
        <v>45604</v>
      </c>
      <c r="L470" s="104"/>
      <c r="M470" s="10" t="b">
        <v>1</v>
      </c>
      <c r="N470" s="10"/>
      <c r="O470" s="11">
        <v>1350</v>
      </c>
      <c r="P470" s="85">
        <v>1.5066964285714286</v>
      </c>
      <c r="Q470" s="11">
        <v>1308</v>
      </c>
      <c r="R470" s="85">
        <v>1.4598214285714286</v>
      </c>
      <c r="S470" s="29" t="s">
        <v>2025</v>
      </c>
      <c r="T470" s="29" t="s">
        <v>2042</v>
      </c>
    </row>
    <row r="471">
      <c r="B471" s="29" t="s">
        <v>1219</v>
      </c>
      <c r="C471" s="29" t="s">
        <v>1245</v>
      </c>
      <c r="D471" s="8" t="s">
        <v>1267</v>
      </c>
      <c r="E471" s="10" t="s">
        <v>1788</v>
      </c>
      <c r="F471" s="10"/>
      <c r="G471" s="10">
        <v>2</v>
      </c>
      <c r="H471" s="10">
        <v>1</v>
      </c>
      <c r="I471" s="10"/>
      <c r="J471" s="10">
        <v>896</v>
      </c>
      <c r="K471" s="104">
        <v>45716</v>
      </c>
      <c r="L471" s="104"/>
      <c r="M471" s="10" t="b">
        <v>1</v>
      </c>
      <c r="N471" s="10"/>
      <c r="O471" s="11">
        <v>1350</v>
      </c>
      <c r="P471" s="85">
        <v>1.5066964285714286</v>
      </c>
      <c r="Q471" s="11">
        <v>1308</v>
      </c>
      <c r="R471" s="85">
        <v>1.4598214285714286</v>
      </c>
      <c r="S471" s="29" t="s">
        <v>2021</v>
      </c>
      <c r="T471" s="29" t="s">
        <v>2042</v>
      </c>
    </row>
    <row r="472">
      <c r="B472" s="29" t="s">
        <v>1219</v>
      </c>
      <c r="C472" s="29" t="s">
        <v>1245</v>
      </c>
      <c r="D472" s="8" t="s">
        <v>1267</v>
      </c>
      <c r="E472" s="10" t="s">
        <v>1789</v>
      </c>
      <c r="F472" s="10"/>
      <c r="G472" s="10">
        <v>2</v>
      </c>
      <c r="H472" s="10">
        <v>1</v>
      </c>
      <c r="I472" s="10"/>
      <c r="J472" s="10">
        <v>896</v>
      </c>
      <c r="K472" s="104">
        <v>45441</v>
      </c>
      <c r="L472" s="104">
        <v>45519</v>
      </c>
      <c r="M472" s="10" t="b">
        <v>0</v>
      </c>
      <c r="N472" s="10">
        <v>79</v>
      </c>
      <c r="O472" s="11">
        <v>1350</v>
      </c>
      <c r="P472" s="85">
        <v>1.5066964285714286</v>
      </c>
      <c r="Q472" s="11">
        <v>1350</v>
      </c>
      <c r="R472" s="85">
        <v>1.5066964285714286</v>
      </c>
      <c r="S472" s="29" t="s">
        <v>2011</v>
      </c>
      <c r="T472" s="29" t="s">
        <v>2038</v>
      </c>
    </row>
    <row r="473">
      <c r="B473" s="29" t="s">
        <v>1219</v>
      </c>
      <c r="C473" s="29" t="s">
        <v>1245</v>
      </c>
      <c r="D473" s="8" t="s">
        <v>1267</v>
      </c>
      <c r="E473" s="10" t="s">
        <v>1790</v>
      </c>
      <c r="F473" s="10"/>
      <c r="G473" s="10">
        <v>2</v>
      </c>
      <c r="H473" s="10">
        <v>1</v>
      </c>
      <c r="I473" s="10"/>
      <c r="J473" s="10">
        <v>896</v>
      </c>
      <c r="K473" s="104">
        <v>45520</v>
      </c>
      <c r="L473" s="104">
        <v>45566</v>
      </c>
      <c r="M473" s="10" t="b">
        <v>0</v>
      </c>
      <c r="N473" s="10">
        <v>47</v>
      </c>
      <c r="O473" s="11">
        <v>1350</v>
      </c>
      <c r="P473" s="85">
        <v>1.5066964285714286</v>
      </c>
      <c r="Q473" s="11">
        <v>1350</v>
      </c>
      <c r="R473" s="85">
        <v>1.5066964285714286</v>
      </c>
      <c r="S473" s="29" t="s">
        <v>2011</v>
      </c>
      <c r="T473" s="29" t="s">
        <v>2038</v>
      </c>
    </row>
    <row r="474">
      <c r="B474" s="29" t="s">
        <v>1219</v>
      </c>
      <c r="C474" s="29" t="s">
        <v>1245</v>
      </c>
      <c r="D474" s="8" t="s">
        <v>1267</v>
      </c>
      <c r="E474" s="10" t="s">
        <v>1791</v>
      </c>
      <c r="F474" s="10"/>
      <c r="G474" s="10">
        <v>2</v>
      </c>
      <c r="H474" s="10">
        <v>1</v>
      </c>
      <c r="I474" s="10"/>
      <c r="J474" s="10">
        <v>896</v>
      </c>
      <c r="K474" s="104">
        <v>45784</v>
      </c>
      <c r="L474" s="104"/>
      <c r="M474" s="10" t="b">
        <v>1</v>
      </c>
      <c r="N474" s="10"/>
      <c r="O474" s="11">
        <v>1350</v>
      </c>
      <c r="P474" s="85">
        <v>1.5066964285714286</v>
      </c>
      <c r="Q474" s="11">
        <v>1350</v>
      </c>
      <c r="R474" s="85">
        <v>1.5066964285714286</v>
      </c>
      <c r="S474" s="29" t="s">
        <v>2019</v>
      </c>
      <c r="T474" s="29" t="s">
        <v>2040</v>
      </c>
    </row>
    <row r="475">
      <c r="B475" s="29" t="s">
        <v>1219</v>
      </c>
      <c r="C475" s="29" t="s">
        <v>1245</v>
      </c>
      <c r="D475" s="8" t="s">
        <v>1267</v>
      </c>
      <c r="E475" s="10" t="s">
        <v>1792</v>
      </c>
      <c r="F475" s="10"/>
      <c r="G475" s="10">
        <v>2</v>
      </c>
      <c r="H475" s="10">
        <v>1</v>
      </c>
      <c r="I475" s="10"/>
      <c r="J475" s="10">
        <v>896</v>
      </c>
      <c r="K475" s="104">
        <v>45415</v>
      </c>
      <c r="L475" s="104">
        <v>45617</v>
      </c>
      <c r="M475" s="10" t="b">
        <v>0</v>
      </c>
      <c r="N475" s="10">
        <v>203</v>
      </c>
      <c r="O475" s="11">
        <v>1360</v>
      </c>
      <c r="P475" s="85">
        <v>1.5178571428571428</v>
      </c>
      <c r="Q475" s="11">
        <v>1310</v>
      </c>
      <c r="R475" s="85">
        <v>1.4620535714285714</v>
      </c>
      <c r="S475" s="29" t="s">
        <v>2017</v>
      </c>
      <c r="T475" s="29" t="s">
        <v>2041</v>
      </c>
    </row>
    <row r="476">
      <c r="B476" s="29" t="s">
        <v>1219</v>
      </c>
      <c r="C476" s="29" t="s">
        <v>1245</v>
      </c>
      <c r="D476" s="8" t="s">
        <v>1267</v>
      </c>
      <c r="E476" s="10" t="s">
        <v>1793</v>
      </c>
      <c r="F476" s="10"/>
      <c r="G476" s="10">
        <v>2</v>
      </c>
      <c r="H476" s="10">
        <v>1</v>
      </c>
      <c r="I476" s="10"/>
      <c r="J476" s="10">
        <v>896</v>
      </c>
      <c r="K476" s="104">
        <v>45568</v>
      </c>
      <c r="L476" s="104">
        <v>45717</v>
      </c>
      <c r="M476" s="10" t="b">
        <v>0</v>
      </c>
      <c r="N476" s="10">
        <v>150</v>
      </c>
      <c r="O476" s="11">
        <v>1365</v>
      </c>
      <c r="P476" s="85">
        <v>1.5234375</v>
      </c>
      <c r="Q476" s="11">
        <v>1365</v>
      </c>
      <c r="R476" s="85">
        <v>1.5234375</v>
      </c>
      <c r="S476" s="29" t="s">
        <v>2011</v>
      </c>
      <c r="T476" s="29" t="s">
        <v>2038</v>
      </c>
    </row>
    <row r="477">
      <c r="B477" s="29" t="s">
        <v>1219</v>
      </c>
      <c r="C477" s="29" t="s">
        <v>1245</v>
      </c>
      <c r="D477" s="8" t="s">
        <v>1267</v>
      </c>
      <c r="E477" s="10" t="s">
        <v>1794</v>
      </c>
      <c r="F477" s="10"/>
      <c r="G477" s="10">
        <v>2</v>
      </c>
      <c r="H477" s="10">
        <v>1</v>
      </c>
      <c r="I477" s="10"/>
      <c r="J477" s="10">
        <v>896</v>
      </c>
      <c r="K477" s="104">
        <v>45573</v>
      </c>
      <c r="L477" s="104">
        <v>45678</v>
      </c>
      <c r="M477" s="10" t="b">
        <v>0</v>
      </c>
      <c r="N477" s="10">
        <v>106</v>
      </c>
      <c r="O477" s="11">
        <v>1365</v>
      </c>
      <c r="P477" s="85">
        <v>1.5234375</v>
      </c>
      <c r="Q477" s="11">
        <v>1365</v>
      </c>
      <c r="R477" s="85">
        <v>1.5234375</v>
      </c>
      <c r="S477" s="29" t="s">
        <v>2011</v>
      </c>
      <c r="T477" s="29" t="s">
        <v>2038</v>
      </c>
    </row>
    <row r="478">
      <c r="B478" s="29" t="s">
        <v>1219</v>
      </c>
      <c r="C478" s="29" t="s">
        <v>1245</v>
      </c>
      <c r="D478" s="8" t="s">
        <v>1267</v>
      </c>
      <c r="E478" s="10" t="s">
        <v>1795</v>
      </c>
      <c r="F478" s="10"/>
      <c r="G478" s="10">
        <v>2</v>
      </c>
      <c r="H478" s="10">
        <v>1</v>
      </c>
      <c r="I478" s="10"/>
      <c r="J478" s="10">
        <v>896</v>
      </c>
      <c r="K478" s="104">
        <v>45729</v>
      </c>
      <c r="L478" s="104">
        <v>45760</v>
      </c>
      <c r="M478" s="10" t="b">
        <v>0</v>
      </c>
      <c r="N478" s="10">
        <v>32</v>
      </c>
      <c r="O478" s="11">
        <v>1365</v>
      </c>
      <c r="P478" s="85">
        <v>1.5234375</v>
      </c>
      <c r="Q478" s="11">
        <v>1365</v>
      </c>
      <c r="R478" s="85">
        <v>1.5234375</v>
      </c>
      <c r="S478" s="29" t="s">
        <v>2013</v>
      </c>
      <c r="T478" s="29" t="s">
        <v>2040</v>
      </c>
    </row>
    <row r="479">
      <c r="B479" s="29" t="s">
        <v>1219</v>
      </c>
      <c r="C479" s="29" t="s">
        <v>1245</v>
      </c>
      <c r="D479" s="8" t="s">
        <v>1267</v>
      </c>
      <c r="E479" s="10" t="s">
        <v>1796</v>
      </c>
      <c r="F479" s="10"/>
      <c r="G479" s="10">
        <v>2</v>
      </c>
      <c r="H479" s="10">
        <v>1</v>
      </c>
      <c r="I479" s="10"/>
      <c r="J479" s="10">
        <v>896</v>
      </c>
      <c r="K479" s="104">
        <v>45610</v>
      </c>
      <c r="L479" s="104">
        <v>45776</v>
      </c>
      <c r="M479" s="10" t="b">
        <v>0</v>
      </c>
      <c r="N479" s="10">
        <v>167</v>
      </c>
      <c r="O479" s="11">
        <v>1375</v>
      </c>
      <c r="P479" s="85">
        <v>1.5345982142857142</v>
      </c>
      <c r="Q479" s="11">
        <v>1333</v>
      </c>
      <c r="R479" s="85">
        <v>1.4877232142857142</v>
      </c>
      <c r="S479" s="29" t="s">
        <v>2022</v>
      </c>
      <c r="T479" s="29" t="s">
        <v>2040</v>
      </c>
    </row>
    <row r="480">
      <c r="B480" s="29" t="s">
        <v>1219</v>
      </c>
      <c r="C480" s="29" t="s">
        <v>1245</v>
      </c>
      <c r="D480" s="8" t="s">
        <v>1267</v>
      </c>
      <c r="E480" s="10" t="s">
        <v>1797</v>
      </c>
      <c r="F480" s="10"/>
      <c r="G480" s="10">
        <v>2</v>
      </c>
      <c r="H480" s="10">
        <v>1</v>
      </c>
      <c r="I480" s="10"/>
      <c r="J480" s="10">
        <v>896</v>
      </c>
      <c r="K480" s="104">
        <v>45631</v>
      </c>
      <c r="L480" s="104">
        <v>45708</v>
      </c>
      <c r="M480" s="10" t="b">
        <v>0</v>
      </c>
      <c r="N480" s="10">
        <v>78</v>
      </c>
      <c r="O480" s="11">
        <v>1375</v>
      </c>
      <c r="P480" s="85">
        <v>1.5345982142857142</v>
      </c>
      <c r="Q480" s="11">
        <v>1375</v>
      </c>
      <c r="R480" s="85">
        <v>1.5345982142857142</v>
      </c>
      <c r="S480" s="29" t="s">
        <v>2011</v>
      </c>
      <c r="T480" s="29" t="s">
        <v>2038</v>
      </c>
    </row>
    <row r="481">
      <c r="B481" s="29" t="s">
        <v>1219</v>
      </c>
      <c r="C481" s="29" t="s">
        <v>1245</v>
      </c>
      <c r="D481" s="8" t="s">
        <v>1267</v>
      </c>
      <c r="E481" s="10" t="s">
        <v>1798</v>
      </c>
      <c r="F481" s="10"/>
      <c r="G481" s="10">
        <v>2</v>
      </c>
      <c r="H481" s="10">
        <v>1</v>
      </c>
      <c r="I481" s="10"/>
      <c r="J481" s="10">
        <v>896</v>
      </c>
      <c r="K481" s="104">
        <v>45392</v>
      </c>
      <c r="L481" s="104">
        <v>45566</v>
      </c>
      <c r="M481" s="10" t="b">
        <v>0</v>
      </c>
      <c r="N481" s="10">
        <v>175</v>
      </c>
      <c r="O481" s="11">
        <v>1375</v>
      </c>
      <c r="P481" s="85">
        <v>1.5345982142857142</v>
      </c>
      <c r="Q481" s="11">
        <v>1325</v>
      </c>
      <c r="R481" s="85">
        <v>1.4787946428571428</v>
      </c>
      <c r="S481" s="29" t="s">
        <v>2014</v>
      </c>
      <c r="T481" s="29" t="s">
        <v>2038</v>
      </c>
    </row>
    <row r="482">
      <c r="B482" s="29" t="s">
        <v>1219</v>
      </c>
      <c r="C482" s="29" t="s">
        <v>1245</v>
      </c>
      <c r="D482" s="8" t="s">
        <v>1267</v>
      </c>
      <c r="E482" s="10" t="s">
        <v>1799</v>
      </c>
      <c r="F482" s="10"/>
      <c r="G482" s="10">
        <v>2</v>
      </c>
      <c r="H482" s="10">
        <v>1</v>
      </c>
      <c r="I482" s="10"/>
      <c r="J482" s="10">
        <v>896</v>
      </c>
      <c r="K482" s="104">
        <v>45454</v>
      </c>
      <c r="L482" s="104">
        <v>45604</v>
      </c>
      <c r="M482" s="10" t="b">
        <v>0</v>
      </c>
      <c r="N482" s="10">
        <v>151</v>
      </c>
      <c r="O482" s="11">
        <v>1375</v>
      </c>
      <c r="P482" s="85">
        <v>1.5345982142857142</v>
      </c>
      <c r="Q482" s="11">
        <v>1330</v>
      </c>
      <c r="R482" s="85">
        <v>1.484375</v>
      </c>
      <c r="S482" s="29" t="s">
        <v>2011</v>
      </c>
      <c r="T482" s="29" t="s">
        <v>2038</v>
      </c>
    </row>
    <row r="483">
      <c r="B483" s="29" t="s">
        <v>1219</v>
      </c>
      <c r="C483" s="29" t="s">
        <v>1245</v>
      </c>
      <c r="D483" s="8" t="s">
        <v>1267</v>
      </c>
      <c r="E483" s="10" t="s">
        <v>1800</v>
      </c>
      <c r="F483" s="10"/>
      <c r="G483" s="10">
        <v>2</v>
      </c>
      <c r="H483" s="10">
        <v>1</v>
      </c>
      <c r="I483" s="10"/>
      <c r="J483" s="10">
        <v>896</v>
      </c>
      <c r="K483" s="104">
        <v>45595</v>
      </c>
      <c r="L483" s="104">
        <v>45673</v>
      </c>
      <c r="M483" s="10" t="b">
        <v>0</v>
      </c>
      <c r="N483" s="10">
        <v>79</v>
      </c>
      <c r="O483" s="11">
        <v>1375</v>
      </c>
      <c r="P483" s="85">
        <v>1.5345982142857142</v>
      </c>
      <c r="Q483" s="11">
        <v>1375</v>
      </c>
      <c r="R483" s="85">
        <v>1.5345982142857142</v>
      </c>
      <c r="S483" s="29" t="s">
        <v>2011</v>
      </c>
      <c r="T483" s="29" t="s">
        <v>2038</v>
      </c>
    </row>
    <row r="484">
      <c r="B484" s="29" t="s">
        <v>1219</v>
      </c>
      <c r="C484" s="29" t="s">
        <v>1245</v>
      </c>
      <c r="D484" s="8" t="s">
        <v>1267</v>
      </c>
      <c r="E484" s="10" t="s">
        <v>1801</v>
      </c>
      <c r="F484" s="10"/>
      <c r="G484" s="10">
        <v>2</v>
      </c>
      <c r="H484" s="10">
        <v>1</v>
      </c>
      <c r="I484" s="10"/>
      <c r="J484" s="10">
        <v>896</v>
      </c>
      <c r="K484" s="104">
        <v>45668</v>
      </c>
      <c r="L484" s="104">
        <v>45722</v>
      </c>
      <c r="M484" s="10" t="b">
        <v>0</v>
      </c>
      <c r="N484" s="10">
        <v>55</v>
      </c>
      <c r="O484" s="11">
        <v>1380</v>
      </c>
      <c r="P484" s="85">
        <v>1.5401785714285714</v>
      </c>
      <c r="Q484" s="11">
        <v>1380</v>
      </c>
      <c r="R484" s="85">
        <v>1.5401785714285714</v>
      </c>
      <c r="S484" s="29" t="s">
        <v>2017</v>
      </c>
      <c r="T484" s="29" t="s">
        <v>2041</v>
      </c>
    </row>
    <row r="485">
      <c r="B485" s="29" t="s">
        <v>1219</v>
      </c>
      <c r="C485" s="29" t="s">
        <v>1245</v>
      </c>
      <c r="D485" s="8" t="s">
        <v>1267</v>
      </c>
      <c r="E485" s="10" t="s">
        <v>1802</v>
      </c>
      <c r="F485" s="10">
        <v>1</v>
      </c>
      <c r="G485" s="10">
        <v>2</v>
      </c>
      <c r="H485" s="10">
        <v>1</v>
      </c>
      <c r="I485" s="10"/>
      <c r="J485" s="10">
        <v>896</v>
      </c>
      <c r="K485" s="104">
        <v>45694</v>
      </c>
      <c r="L485" s="104">
        <v>45751</v>
      </c>
      <c r="M485" s="10" t="b">
        <v>0</v>
      </c>
      <c r="N485" s="10">
        <v>58</v>
      </c>
      <c r="O485" s="11">
        <v>1380</v>
      </c>
      <c r="P485" s="85">
        <v>1.5401785714285714</v>
      </c>
      <c r="Q485" s="11">
        <v>1380</v>
      </c>
      <c r="R485" s="85">
        <v>1.5401785714285714</v>
      </c>
      <c r="S485" s="29" t="s">
        <v>2013</v>
      </c>
      <c r="T485" s="29" t="s">
        <v>2040</v>
      </c>
    </row>
    <row r="486">
      <c r="B486" s="29" t="s">
        <v>1219</v>
      </c>
      <c r="C486" s="29" t="s">
        <v>1245</v>
      </c>
      <c r="D486" s="8" t="s">
        <v>1267</v>
      </c>
      <c r="E486" s="10" t="s">
        <v>1803</v>
      </c>
      <c r="F486" s="10"/>
      <c r="G486" s="10">
        <v>2</v>
      </c>
      <c r="H486" s="10">
        <v>1</v>
      </c>
      <c r="I486" s="10"/>
      <c r="J486" s="10">
        <v>896</v>
      </c>
      <c r="K486" s="104">
        <v>45502</v>
      </c>
      <c r="L486" s="104">
        <v>45630</v>
      </c>
      <c r="M486" s="10" t="b">
        <v>0</v>
      </c>
      <c r="N486" s="10">
        <v>129</v>
      </c>
      <c r="O486" s="11">
        <v>1380</v>
      </c>
      <c r="P486" s="85">
        <v>1.5401785714285714</v>
      </c>
      <c r="Q486" s="11">
        <v>1380</v>
      </c>
      <c r="R486" s="85">
        <v>1.5401785714285714</v>
      </c>
      <c r="S486" s="29" t="s">
        <v>2023</v>
      </c>
      <c r="T486" s="29" t="s">
        <v>2041</v>
      </c>
    </row>
    <row r="487">
      <c r="B487" s="29" t="s">
        <v>1219</v>
      </c>
      <c r="C487" s="29" t="s">
        <v>1245</v>
      </c>
      <c r="D487" s="8" t="s">
        <v>1267</v>
      </c>
      <c r="E487" s="10" t="s">
        <v>1804</v>
      </c>
      <c r="F487" s="10"/>
      <c r="G487" s="10">
        <v>2</v>
      </c>
      <c r="H487" s="10">
        <v>1</v>
      </c>
      <c r="I487" s="10"/>
      <c r="J487" s="10">
        <v>896</v>
      </c>
      <c r="K487" s="104">
        <v>45724</v>
      </c>
      <c r="L487" s="104">
        <v>45741</v>
      </c>
      <c r="M487" s="10" t="b">
        <v>0</v>
      </c>
      <c r="N487" s="10">
        <v>18</v>
      </c>
      <c r="O487" s="11">
        <v>1385</v>
      </c>
      <c r="P487" s="85">
        <v>1.5457589285714286</v>
      </c>
      <c r="Q487" s="11">
        <v>1385</v>
      </c>
      <c r="R487" s="85">
        <v>1.5457589285714286</v>
      </c>
      <c r="S487" s="29" t="s">
        <v>2011</v>
      </c>
      <c r="T487" s="29" t="s">
        <v>2038</v>
      </c>
    </row>
    <row r="488">
      <c r="B488" s="29" t="s">
        <v>1219</v>
      </c>
      <c r="C488" s="29" t="s">
        <v>1245</v>
      </c>
      <c r="D488" s="8" t="s">
        <v>1267</v>
      </c>
      <c r="E488" s="10" t="s">
        <v>1805</v>
      </c>
      <c r="F488" s="10"/>
      <c r="G488" s="10">
        <v>2</v>
      </c>
      <c r="H488" s="10">
        <v>1</v>
      </c>
      <c r="I488" s="10"/>
      <c r="J488" s="10">
        <v>896</v>
      </c>
      <c r="K488" s="104">
        <v>45636</v>
      </c>
      <c r="L488" s="104">
        <v>45734</v>
      </c>
      <c r="M488" s="10" t="b">
        <v>0</v>
      </c>
      <c r="N488" s="10">
        <v>99</v>
      </c>
      <c r="O488" s="11">
        <v>1385</v>
      </c>
      <c r="P488" s="85">
        <v>1.5457589285714286</v>
      </c>
      <c r="Q488" s="11">
        <v>1385</v>
      </c>
      <c r="R488" s="85">
        <v>1.5457589285714286</v>
      </c>
      <c r="S488" s="29" t="s">
        <v>2011</v>
      </c>
      <c r="T488" s="29" t="s">
        <v>2038</v>
      </c>
    </row>
    <row r="489">
      <c r="B489" s="29" t="s">
        <v>1219</v>
      </c>
      <c r="C489" s="29" t="s">
        <v>1245</v>
      </c>
      <c r="D489" s="8" t="s">
        <v>1267</v>
      </c>
      <c r="E489" s="10" t="s">
        <v>1806</v>
      </c>
      <c r="F489" s="10"/>
      <c r="G489" s="10">
        <v>2</v>
      </c>
      <c r="H489" s="10">
        <v>1</v>
      </c>
      <c r="I489" s="10"/>
      <c r="J489" s="10">
        <v>896</v>
      </c>
      <c r="K489" s="104">
        <v>45231</v>
      </c>
      <c r="L489" s="104">
        <v>45456</v>
      </c>
      <c r="M489" s="10" t="b">
        <v>0</v>
      </c>
      <c r="N489" s="10">
        <v>226</v>
      </c>
      <c r="O489" s="11">
        <v>1385</v>
      </c>
      <c r="P489" s="85">
        <v>1.5457589285714286</v>
      </c>
      <c r="Q489" s="11">
        <v>1385</v>
      </c>
      <c r="R489" s="85">
        <v>1.5457589285714286</v>
      </c>
      <c r="S489" s="29" t="s">
        <v>2011</v>
      </c>
      <c r="T489" s="29" t="s">
        <v>2038</v>
      </c>
    </row>
    <row r="490">
      <c r="B490" s="29" t="s">
        <v>1219</v>
      </c>
      <c r="C490" s="29" t="s">
        <v>1245</v>
      </c>
      <c r="D490" s="8" t="s">
        <v>1267</v>
      </c>
      <c r="E490" s="10" t="s">
        <v>1807</v>
      </c>
      <c r="F490" s="10"/>
      <c r="G490" s="10">
        <v>2</v>
      </c>
      <c r="H490" s="10">
        <v>1</v>
      </c>
      <c r="I490" s="10"/>
      <c r="J490" s="10">
        <v>896</v>
      </c>
      <c r="K490" s="104">
        <v>45690</v>
      </c>
      <c r="L490" s="104">
        <v>45742</v>
      </c>
      <c r="M490" s="10" t="b">
        <v>0</v>
      </c>
      <c r="N490" s="10">
        <v>53</v>
      </c>
      <c r="O490" s="11">
        <v>1390</v>
      </c>
      <c r="P490" s="85">
        <v>1.5513392857142858</v>
      </c>
      <c r="Q490" s="11">
        <v>1390</v>
      </c>
      <c r="R490" s="85">
        <v>1.5513392857142858</v>
      </c>
      <c r="S490" s="29" t="s">
        <v>2011</v>
      </c>
      <c r="T490" s="29" t="s">
        <v>2038</v>
      </c>
    </row>
    <row r="491">
      <c r="B491" s="29" t="s">
        <v>1219</v>
      </c>
      <c r="C491" s="29" t="s">
        <v>1245</v>
      </c>
      <c r="D491" s="8" t="s">
        <v>1267</v>
      </c>
      <c r="E491" s="10" t="s">
        <v>1808</v>
      </c>
      <c r="F491" s="10"/>
      <c r="G491" s="10">
        <v>2</v>
      </c>
      <c r="H491" s="10">
        <v>1</v>
      </c>
      <c r="I491" s="10"/>
      <c r="J491" s="10">
        <v>896</v>
      </c>
      <c r="K491" s="104">
        <v>45326</v>
      </c>
      <c r="L491" s="104">
        <v>45452</v>
      </c>
      <c r="M491" s="10" t="b">
        <v>0</v>
      </c>
      <c r="N491" s="10">
        <v>127</v>
      </c>
      <c r="O491" s="11">
        <v>1390</v>
      </c>
      <c r="P491" s="85">
        <v>1.5513392857142858</v>
      </c>
      <c r="Q491" s="11">
        <v>1390</v>
      </c>
      <c r="R491" s="85">
        <v>1.5513392857142858</v>
      </c>
      <c r="S491" s="29" t="s">
        <v>2017</v>
      </c>
      <c r="T491" s="29" t="s">
        <v>2041</v>
      </c>
    </row>
    <row r="492">
      <c r="B492" s="29" t="s">
        <v>1219</v>
      </c>
      <c r="C492" s="29" t="s">
        <v>1245</v>
      </c>
      <c r="D492" s="8" t="s">
        <v>1267</v>
      </c>
      <c r="E492" s="10" t="s">
        <v>1809</v>
      </c>
      <c r="F492" s="10">
        <v>1</v>
      </c>
      <c r="G492" s="10">
        <v>2</v>
      </c>
      <c r="H492" s="10">
        <v>1</v>
      </c>
      <c r="I492" s="10"/>
      <c r="J492" s="10">
        <v>896</v>
      </c>
      <c r="K492" s="104">
        <v>45308</v>
      </c>
      <c r="L492" s="104">
        <v>45452</v>
      </c>
      <c r="M492" s="10" t="b">
        <v>0</v>
      </c>
      <c r="N492" s="10">
        <v>145</v>
      </c>
      <c r="O492" s="11">
        <v>1390</v>
      </c>
      <c r="P492" s="85">
        <v>1.5513392857142858</v>
      </c>
      <c r="Q492" s="11">
        <v>1390</v>
      </c>
      <c r="R492" s="85">
        <v>1.5513392857142858</v>
      </c>
      <c r="S492" s="29" t="s">
        <v>2017</v>
      </c>
      <c r="T492" s="29" t="s">
        <v>2041</v>
      </c>
    </row>
    <row r="493">
      <c r="B493" s="29" t="s">
        <v>1219</v>
      </c>
      <c r="C493" s="29" t="s">
        <v>1245</v>
      </c>
      <c r="D493" s="8" t="s">
        <v>1267</v>
      </c>
      <c r="E493" s="10" t="s">
        <v>1810</v>
      </c>
      <c r="F493" s="10"/>
      <c r="G493" s="10">
        <v>2</v>
      </c>
      <c r="H493" s="10">
        <v>1</v>
      </c>
      <c r="I493" s="10"/>
      <c r="J493" s="10">
        <v>896</v>
      </c>
      <c r="K493" s="104">
        <v>45405</v>
      </c>
      <c r="L493" s="104">
        <v>45463</v>
      </c>
      <c r="M493" s="10" t="b">
        <v>0</v>
      </c>
      <c r="N493" s="10">
        <v>59</v>
      </c>
      <c r="O493" s="11">
        <v>1395</v>
      </c>
      <c r="P493" s="85">
        <v>1.5569196428571428</v>
      </c>
      <c r="Q493" s="11">
        <v>1395</v>
      </c>
      <c r="R493" s="85">
        <v>1.5569196428571428</v>
      </c>
      <c r="S493" s="29" t="s">
        <v>2011</v>
      </c>
      <c r="T493" s="29" t="s">
        <v>2038</v>
      </c>
    </row>
    <row r="494">
      <c r="B494" s="29" t="s">
        <v>1219</v>
      </c>
      <c r="C494" s="29" t="s">
        <v>1245</v>
      </c>
      <c r="D494" s="8" t="s">
        <v>1267</v>
      </c>
      <c r="E494" s="10" t="s">
        <v>1811</v>
      </c>
      <c r="F494" s="10"/>
      <c r="G494" s="10">
        <v>2</v>
      </c>
      <c r="H494" s="10">
        <v>1</v>
      </c>
      <c r="I494" s="10"/>
      <c r="J494" s="10">
        <v>896</v>
      </c>
      <c r="K494" s="104">
        <v>45414</v>
      </c>
      <c r="L494" s="104">
        <v>45428</v>
      </c>
      <c r="M494" s="10" t="b">
        <v>0</v>
      </c>
      <c r="N494" s="10">
        <v>15</v>
      </c>
      <c r="O494" s="11">
        <v>1395</v>
      </c>
      <c r="P494" s="85">
        <v>1.5569196428571428</v>
      </c>
      <c r="Q494" s="11">
        <v>1395</v>
      </c>
      <c r="R494" s="85">
        <v>1.5569196428571428</v>
      </c>
      <c r="S494" s="29" t="s">
        <v>2011</v>
      </c>
      <c r="T494" s="29" t="s">
        <v>2038</v>
      </c>
    </row>
    <row r="495">
      <c r="B495" s="29" t="s">
        <v>1219</v>
      </c>
      <c r="C495" s="29" t="s">
        <v>1245</v>
      </c>
      <c r="D495" s="8" t="s">
        <v>1267</v>
      </c>
      <c r="E495" s="10" t="s">
        <v>1812</v>
      </c>
      <c r="F495" s="10">
        <v>1</v>
      </c>
      <c r="G495" s="10">
        <v>2</v>
      </c>
      <c r="H495" s="10">
        <v>1</v>
      </c>
      <c r="I495" s="10"/>
      <c r="J495" s="10">
        <v>896</v>
      </c>
      <c r="K495" s="104">
        <v>45582</v>
      </c>
      <c r="L495" s="104">
        <v>45626</v>
      </c>
      <c r="M495" s="10" t="b">
        <v>0</v>
      </c>
      <c r="N495" s="10">
        <v>45</v>
      </c>
      <c r="O495" s="11">
        <v>1400</v>
      </c>
      <c r="P495" s="85">
        <v>1.5625</v>
      </c>
      <c r="Q495" s="11">
        <v>1400</v>
      </c>
      <c r="R495" s="85">
        <v>1.5625</v>
      </c>
      <c r="S495" s="29" t="s">
        <v>2014</v>
      </c>
      <c r="T495" s="29" t="s">
        <v>2038</v>
      </c>
    </row>
    <row r="496">
      <c r="B496" s="29" t="s">
        <v>1219</v>
      </c>
      <c r="C496" s="29" t="s">
        <v>1245</v>
      </c>
      <c r="D496" s="8" t="s">
        <v>1267</v>
      </c>
      <c r="E496" s="10" t="s">
        <v>1813</v>
      </c>
      <c r="F496" s="10">
        <v>1</v>
      </c>
      <c r="G496" s="10">
        <v>2</v>
      </c>
      <c r="H496" s="10">
        <v>1</v>
      </c>
      <c r="I496" s="10"/>
      <c r="J496" s="10">
        <v>896</v>
      </c>
      <c r="K496" s="104">
        <v>45338</v>
      </c>
      <c r="L496" s="104">
        <v>45450</v>
      </c>
      <c r="M496" s="10" t="b">
        <v>0</v>
      </c>
      <c r="N496" s="10">
        <v>113</v>
      </c>
      <c r="O496" s="11">
        <v>1400</v>
      </c>
      <c r="P496" s="85">
        <v>1.5625</v>
      </c>
      <c r="Q496" s="11">
        <v>1400</v>
      </c>
      <c r="R496" s="85">
        <v>1.5625</v>
      </c>
      <c r="S496" s="29" t="s">
        <v>2014</v>
      </c>
      <c r="T496" s="29" t="s">
        <v>2038</v>
      </c>
    </row>
    <row r="497">
      <c r="B497" s="29" t="s">
        <v>1219</v>
      </c>
      <c r="C497" s="29" t="s">
        <v>1245</v>
      </c>
      <c r="D497" s="8" t="s">
        <v>1267</v>
      </c>
      <c r="E497" s="10" t="s">
        <v>1814</v>
      </c>
      <c r="F497" s="10"/>
      <c r="G497" s="10">
        <v>2</v>
      </c>
      <c r="H497" s="10">
        <v>1</v>
      </c>
      <c r="I497" s="10"/>
      <c r="J497" s="10">
        <v>896</v>
      </c>
      <c r="K497" s="104">
        <v>45697</v>
      </c>
      <c r="L497" s="104">
        <v>45737</v>
      </c>
      <c r="M497" s="10" t="b">
        <v>0</v>
      </c>
      <c r="N497" s="10">
        <v>41</v>
      </c>
      <c r="O497" s="11">
        <v>1400</v>
      </c>
      <c r="P497" s="85">
        <v>1.5625</v>
      </c>
      <c r="Q497" s="11">
        <v>1400</v>
      </c>
      <c r="R497" s="85">
        <v>1.5625</v>
      </c>
      <c r="S497" s="29" t="s">
        <v>2014</v>
      </c>
      <c r="T497" s="29" t="s">
        <v>2038</v>
      </c>
    </row>
    <row r="498">
      <c r="B498" s="29" t="s">
        <v>1219</v>
      </c>
      <c r="C498" s="29" t="s">
        <v>1245</v>
      </c>
      <c r="D498" s="8" t="s">
        <v>1267</v>
      </c>
      <c r="E498" s="10" t="s">
        <v>1815</v>
      </c>
      <c r="F498" s="10"/>
      <c r="G498" s="10">
        <v>2</v>
      </c>
      <c r="H498" s="10">
        <v>1</v>
      </c>
      <c r="I498" s="10"/>
      <c r="J498" s="10">
        <v>896</v>
      </c>
      <c r="K498" s="104">
        <v>45435</v>
      </c>
      <c r="L498" s="104">
        <v>45475</v>
      </c>
      <c r="M498" s="10" t="b">
        <v>0</v>
      </c>
      <c r="N498" s="10">
        <v>41</v>
      </c>
      <c r="O498" s="11">
        <v>1405</v>
      </c>
      <c r="P498" s="85">
        <v>1.5680803571428572</v>
      </c>
      <c r="Q498" s="11">
        <v>1405</v>
      </c>
      <c r="R498" s="85">
        <v>1.5680803571428572</v>
      </c>
      <c r="S498" s="29" t="s">
        <v>2011</v>
      </c>
      <c r="T498" s="29" t="s">
        <v>2038</v>
      </c>
    </row>
    <row r="499">
      <c r="B499" s="29" t="s">
        <v>1219</v>
      </c>
      <c r="C499" s="29" t="s">
        <v>1245</v>
      </c>
      <c r="D499" s="8" t="s">
        <v>1267</v>
      </c>
      <c r="E499" s="10" t="s">
        <v>1816</v>
      </c>
      <c r="F499" s="10"/>
      <c r="G499" s="10">
        <v>2</v>
      </c>
      <c r="H499" s="10">
        <v>1</v>
      </c>
      <c r="I499" s="10"/>
      <c r="J499" s="10">
        <v>896</v>
      </c>
      <c r="K499" s="104">
        <v>45399</v>
      </c>
      <c r="L499" s="104">
        <v>45493</v>
      </c>
      <c r="M499" s="10" t="b">
        <v>0</v>
      </c>
      <c r="N499" s="10">
        <v>95</v>
      </c>
      <c r="O499" s="11">
        <v>1410</v>
      </c>
      <c r="P499" s="85">
        <v>1.5736607142857142</v>
      </c>
      <c r="Q499" s="11">
        <v>1410</v>
      </c>
      <c r="R499" s="85">
        <v>1.5736607142857142</v>
      </c>
      <c r="S499" s="29" t="s">
        <v>2017</v>
      </c>
      <c r="T499" s="29" t="s">
        <v>2041</v>
      </c>
    </row>
    <row r="500">
      <c r="B500" s="29" t="s">
        <v>1219</v>
      </c>
      <c r="C500" s="29" t="s">
        <v>1245</v>
      </c>
      <c r="D500" s="8" t="s">
        <v>1267</v>
      </c>
      <c r="E500" s="10" t="s">
        <v>1817</v>
      </c>
      <c r="F500" s="10"/>
      <c r="G500" s="10">
        <v>2</v>
      </c>
      <c r="H500" s="10">
        <v>1</v>
      </c>
      <c r="I500" s="10"/>
      <c r="J500" s="10">
        <v>896</v>
      </c>
      <c r="K500" s="104">
        <v>45685</v>
      </c>
      <c r="L500" s="104">
        <v>45741</v>
      </c>
      <c r="M500" s="10" t="b">
        <v>0</v>
      </c>
      <c r="N500" s="10">
        <v>57</v>
      </c>
      <c r="O500" s="11">
        <v>1415</v>
      </c>
      <c r="P500" s="85">
        <v>1.5792410714285714</v>
      </c>
      <c r="Q500" s="11">
        <v>1415</v>
      </c>
      <c r="R500" s="85">
        <v>1.5792410714285714</v>
      </c>
      <c r="S500" s="29" t="s">
        <v>2014</v>
      </c>
      <c r="T500" s="29" t="s">
        <v>2038</v>
      </c>
    </row>
    <row r="501">
      <c r="B501" s="29" t="s">
        <v>1219</v>
      </c>
      <c r="C501" s="29" t="s">
        <v>1245</v>
      </c>
      <c r="D501" s="8" t="s">
        <v>1267</v>
      </c>
      <c r="E501" s="10" t="s">
        <v>1818</v>
      </c>
      <c r="F501" s="10">
        <v>1</v>
      </c>
      <c r="G501" s="10">
        <v>2</v>
      </c>
      <c r="H501" s="10">
        <v>1</v>
      </c>
      <c r="I501" s="10"/>
      <c r="J501" s="10">
        <v>896</v>
      </c>
      <c r="K501" s="104">
        <v>45476</v>
      </c>
      <c r="L501" s="104">
        <v>45506</v>
      </c>
      <c r="M501" s="10" t="b">
        <v>0</v>
      </c>
      <c r="N501" s="10">
        <v>31</v>
      </c>
      <c r="O501" s="11">
        <v>1420</v>
      </c>
      <c r="P501" s="85">
        <v>1.5848214285714286</v>
      </c>
      <c r="Q501" s="11">
        <v>1420</v>
      </c>
      <c r="R501" s="85">
        <v>1.5848214285714286</v>
      </c>
      <c r="S501" s="29" t="s">
        <v>2014</v>
      </c>
      <c r="T501" s="29" t="s">
        <v>2038</v>
      </c>
    </row>
    <row r="502">
      <c r="B502" s="29" t="s">
        <v>1219</v>
      </c>
      <c r="C502" s="29" t="s">
        <v>1245</v>
      </c>
      <c r="D502" s="8" t="s">
        <v>1267</v>
      </c>
      <c r="E502" s="10" t="s">
        <v>1819</v>
      </c>
      <c r="F502" s="10">
        <v>1</v>
      </c>
      <c r="G502" s="10">
        <v>2</v>
      </c>
      <c r="H502" s="10">
        <v>1</v>
      </c>
      <c r="I502" s="10"/>
      <c r="J502" s="10">
        <v>896</v>
      </c>
      <c r="K502" s="104">
        <v>45454</v>
      </c>
      <c r="L502" s="104">
        <v>45736</v>
      </c>
      <c r="M502" s="10" t="b">
        <v>0</v>
      </c>
      <c r="N502" s="10">
        <v>283</v>
      </c>
      <c r="O502" s="11">
        <v>1425</v>
      </c>
      <c r="P502" s="85">
        <v>1.5904017857142858</v>
      </c>
      <c r="Q502" s="11">
        <v>1425</v>
      </c>
      <c r="R502" s="85">
        <v>1.5904017857142858</v>
      </c>
      <c r="S502" s="29" t="s">
        <v>2011</v>
      </c>
      <c r="T502" s="29" t="s">
        <v>2038</v>
      </c>
    </row>
    <row r="503">
      <c r="B503" s="29" t="s">
        <v>1219</v>
      </c>
      <c r="C503" s="29" t="s">
        <v>1245</v>
      </c>
      <c r="D503" s="8" t="s">
        <v>1267</v>
      </c>
      <c r="E503" s="10" t="s">
        <v>1820</v>
      </c>
      <c r="F503" s="10"/>
      <c r="G503" s="10">
        <v>2</v>
      </c>
      <c r="H503" s="10">
        <v>1</v>
      </c>
      <c r="I503" s="10"/>
      <c r="J503" s="10">
        <v>896</v>
      </c>
      <c r="K503" s="104">
        <v>45679</v>
      </c>
      <c r="L503" s="104">
        <v>45743</v>
      </c>
      <c r="M503" s="10" t="b">
        <v>0</v>
      </c>
      <c r="N503" s="10">
        <v>65</v>
      </c>
      <c r="O503" s="11">
        <v>1425</v>
      </c>
      <c r="P503" s="85">
        <v>1.5904017857142858</v>
      </c>
      <c r="Q503" s="11">
        <v>1425</v>
      </c>
      <c r="R503" s="85">
        <v>1.5904017857142858</v>
      </c>
      <c r="S503" s="29" t="s">
        <v>2011</v>
      </c>
      <c r="T503" s="29" t="s">
        <v>2038</v>
      </c>
    </row>
    <row r="504">
      <c r="B504" s="29" t="s">
        <v>1219</v>
      </c>
      <c r="C504" s="29" t="s">
        <v>1245</v>
      </c>
      <c r="D504" s="8" t="s">
        <v>1267</v>
      </c>
      <c r="E504" s="10" t="s">
        <v>1821</v>
      </c>
      <c r="F504" s="10"/>
      <c r="G504" s="10">
        <v>2</v>
      </c>
      <c r="H504" s="10">
        <v>1</v>
      </c>
      <c r="I504" s="10"/>
      <c r="J504" s="10">
        <v>896</v>
      </c>
      <c r="K504" s="104">
        <v>45284</v>
      </c>
      <c r="L504" s="104">
        <v>45491</v>
      </c>
      <c r="M504" s="10" t="b">
        <v>0</v>
      </c>
      <c r="N504" s="10">
        <v>208</v>
      </c>
      <c r="O504" s="11">
        <v>1425</v>
      </c>
      <c r="P504" s="85">
        <v>1.5904017857142858</v>
      </c>
      <c r="Q504" s="11">
        <v>1425</v>
      </c>
      <c r="R504" s="85">
        <v>1.5904017857142858</v>
      </c>
      <c r="S504" s="29" t="s">
        <v>2014</v>
      </c>
      <c r="T504" s="29" t="s">
        <v>2038</v>
      </c>
    </row>
    <row r="505">
      <c r="B505" s="29" t="s">
        <v>1219</v>
      </c>
      <c r="C505" s="29" t="s">
        <v>1245</v>
      </c>
      <c r="D505" s="8" t="s">
        <v>1267</v>
      </c>
      <c r="E505" s="10" t="s">
        <v>1822</v>
      </c>
      <c r="F505" s="10">
        <v>2</v>
      </c>
      <c r="G505" s="10">
        <v>2</v>
      </c>
      <c r="H505" s="10">
        <v>1</v>
      </c>
      <c r="I505" s="10"/>
      <c r="J505" s="10">
        <v>896</v>
      </c>
      <c r="K505" s="104">
        <v>45454</v>
      </c>
      <c r="L505" s="104">
        <v>45512</v>
      </c>
      <c r="M505" s="10" t="b">
        <v>0</v>
      </c>
      <c r="N505" s="10">
        <v>59</v>
      </c>
      <c r="O505" s="11">
        <v>1425</v>
      </c>
      <c r="P505" s="85">
        <v>1.5904017857142858</v>
      </c>
      <c r="Q505" s="11">
        <v>1425</v>
      </c>
      <c r="R505" s="85">
        <v>1.5904017857142858</v>
      </c>
      <c r="S505" s="29" t="s">
        <v>2017</v>
      </c>
      <c r="T505" s="29" t="s">
        <v>2041</v>
      </c>
    </row>
    <row r="506">
      <c r="B506" s="29" t="s">
        <v>1219</v>
      </c>
      <c r="C506" s="29" t="s">
        <v>1245</v>
      </c>
      <c r="D506" s="8" t="s">
        <v>1267</v>
      </c>
      <c r="E506" s="10" t="s">
        <v>1823</v>
      </c>
      <c r="F506" s="10"/>
      <c r="G506" s="10">
        <v>2</v>
      </c>
      <c r="H506" s="10">
        <v>1</v>
      </c>
      <c r="I506" s="10"/>
      <c r="J506" s="10">
        <v>896</v>
      </c>
      <c r="K506" s="104">
        <v>45392</v>
      </c>
      <c r="L506" s="104">
        <v>45427</v>
      </c>
      <c r="M506" s="10" t="b">
        <v>0</v>
      </c>
      <c r="N506" s="10">
        <v>36</v>
      </c>
      <c r="O506" s="11">
        <v>1425</v>
      </c>
      <c r="P506" s="85">
        <v>1.5904017857142858</v>
      </c>
      <c r="Q506" s="11">
        <v>1425</v>
      </c>
      <c r="R506" s="85">
        <v>1.5904017857142858</v>
      </c>
      <c r="S506" s="29" t="s">
        <v>2023</v>
      </c>
      <c r="T506" s="29" t="s">
        <v>2041</v>
      </c>
    </row>
    <row r="507">
      <c r="B507" s="29" t="s">
        <v>1219</v>
      </c>
      <c r="C507" s="29" t="s">
        <v>1245</v>
      </c>
      <c r="D507" s="8" t="s">
        <v>1267</v>
      </c>
      <c r="E507" s="10" t="s">
        <v>1824</v>
      </c>
      <c r="F507" s="10">
        <v>1</v>
      </c>
      <c r="G507" s="10">
        <v>2</v>
      </c>
      <c r="H507" s="10">
        <v>1</v>
      </c>
      <c r="I507" s="10"/>
      <c r="J507" s="10">
        <v>896</v>
      </c>
      <c r="K507" s="104">
        <v>45441</v>
      </c>
      <c r="L507" s="104">
        <v>45516</v>
      </c>
      <c r="M507" s="10" t="b">
        <v>0</v>
      </c>
      <c r="N507" s="10">
        <v>76</v>
      </c>
      <c r="O507" s="11">
        <v>1430</v>
      </c>
      <c r="P507" s="85">
        <v>1.5959821428571428</v>
      </c>
      <c r="Q507" s="11">
        <v>1430</v>
      </c>
      <c r="R507" s="85">
        <v>1.5959821428571428</v>
      </c>
      <c r="S507" s="29" t="s">
        <v>2014</v>
      </c>
      <c r="T507" s="29" t="s">
        <v>2038</v>
      </c>
    </row>
    <row r="508">
      <c r="B508" s="29" t="s">
        <v>1219</v>
      </c>
      <c r="C508" s="29" t="s">
        <v>1245</v>
      </c>
      <c r="D508" s="8" t="s">
        <v>1267</v>
      </c>
      <c r="E508" s="10" t="s">
        <v>1825</v>
      </c>
      <c r="F508" s="10"/>
      <c r="G508" s="10">
        <v>2</v>
      </c>
      <c r="H508" s="10">
        <v>1</v>
      </c>
      <c r="I508" s="10"/>
      <c r="J508" s="10">
        <v>896</v>
      </c>
      <c r="K508" s="104">
        <v>45510</v>
      </c>
      <c r="L508" s="104">
        <v>45562</v>
      </c>
      <c r="M508" s="10" t="b">
        <v>0</v>
      </c>
      <c r="N508" s="10">
        <v>53</v>
      </c>
      <c r="O508" s="11">
        <v>1455</v>
      </c>
      <c r="P508" s="85">
        <v>1.6238839285714286</v>
      </c>
      <c r="Q508" s="11">
        <v>1455</v>
      </c>
      <c r="R508" s="85">
        <v>1.6238839285714286</v>
      </c>
      <c r="S508" s="29" t="s">
        <v>2026</v>
      </c>
      <c r="T508" s="29" t="s">
        <v>2038</v>
      </c>
    </row>
    <row r="509">
      <c r="B509" s="29" t="s">
        <v>1219</v>
      </c>
      <c r="C509" s="29" t="s">
        <v>1245</v>
      </c>
      <c r="D509" s="8" t="s">
        <v>1268</v>
      </c>
      <c r="E509" s="10" t="s">
        <v>1826</v>
      </c>
      <c r="F509" s="10"/>
      <c r="G509" s="10">
        <v>2</v>
      </c>
      <c r="H509" s="10">
        <v>1</v>
      </c>
      <c r="I509" s="10"/>
      <c r="J509" s="10">
        <v>896</v>
      </c>
      <c r="K509" s="104">
        <v>45177</v>
      </c>
      <c r="L509" s="104">
        <v>45213</v>
      </c>
      <c r="M509" s="10" t="b">
        <v>0</v>
      </c>
      <c r="N509" s="10">
        <v>37</v>
      </c>
      <c r="O509" s="11">
        <v>1265</v>
      </c>
      <c r="P509" s="85">
        <v>1.4118303571428572</v>
      </c>
      <c r="Q509" s="11">
        <v>1265</v>
      </c>
      <c r="R509" s="85">
        <v>1.4118303571428572</v>
      </c>
      <c r="S509" s="29" t="s">
        <v>1998</v>
      </c>
      <c r="T509" s="29" t="s">
        <v>2039</v>
      </c>
    </row>
    <row r="510">
      <c r="B510" s="29" t="s">
        <v>1219</v>
      </c>
      <c r="C510" s="29" t="s">
        <v>1245</v>
      </c>
      <c r="D510" s="8" t="s">
        <v>1268</v>
      </c>
      <c r="E510" s="10" t="s">
        <v>1827</v>
      </c>
      <c r="F510" s="10"/>
      <c r="G510" s="10">
        <v>2</v>
      </c>
      <c r="H510" s="10">
        <v>1</v>
      </c>
      <c r="I510" s="10"/>
      <c r="J510" s="10">
        <v>896</v>
      </c>
      <c r="K510" s="104">
        <v>45198</v>
      </c>
      <c r="L510" s="104">
        <v>45215</v>
      </c>
      <c r="M510" s="10" t="b">
        <v>0</v>
      </c>
      <c r="N510" s="10">
        <v>18</v>
      </c>
      <c r="O510" s="11">
        <v>1265</v>
      </c>
      <c r="P510" s="85">
        <v>1.4118303571428572</v>
      </c>
      <c r="Q510" s="11">
        <v>1265</v>
      </c>
      <c r="R510" s="85">
        <v>1.4118303571428572</v>
      </c>
      <c r="S510" s="29" t="s">
        <v>1998</v>
      </c>
      <c r="T510" s="29" t="s">
        <v>2039</v>
      </c>
    </row>
    <row r="511">
      <c r="B511" s="29" t="s">
        <v>1219</v>
      </c>
      <c r="C511" s="29" t="s">
        <v>1245</v>
      </c>
      <c r="D511" s="8" t="s">
        <v>1268</v>
      </c>
      <c r="E511" s="10" t="s">
        <v>1828</v>
      </c>
      <c r="F511" s="10"/>
      <c r="G511" s="10">
        <v>2</v>
      </c>
      <c r="H511" s="10">
        <v>1</v>
      </c>
      <c r="I511" s="10"/>
      <c r="J511" s="10">
        <v>896</v>
      </c>
      <c r="K511" s="104"/>
      <c r="L511" s="104">
        <v>45240</v>
      </c>
      <c r="M511" s="10" t="b">
        <v>0</v>
      </c>
      <c r="N511" s="10"/>
      <c r="O511" s="11">
        <v>1275</v>
      </c>
      <c r="P511" s="85">
        <v>1.4229910714285714</v>
      </c>
      <c r="Q511" s="11">
        <v>1233</v>
      </c>
      <c r="R511" s="85">
        <v>1.3761160714285714</v>
      </c>
      <c r="S511" s="29" t="s">
        <v>1998</v>
      </c>
      <c r="T511" s="29" t="s">
        <v>2039</v>
      </c>
    </row>
    <row r="512">
      <c r="B512" s="29" t="s">
        <v>1219</v>
      </c>
      <c r="C512" s="29" t="s">
        <v>1245</v>
      </c>
      <c r="D512" s="8" t="s">
        <v>1268</v>
      </c>
      <c r="E512" s="10" t="s">
        <v>1829</v>
      </c>
      <c r="F512" s="10"/>
      <c r="G512" s="10">
        <v>2</v>
      </c>
      <c r="H512" s="10">
        <v>1</v>
      </c>
      <c r="I512" s="10"/>
      <c r="J512" s="10">
        <v>896</v>
      </c>
      <c r="K512" s="104">
        <v>45211</v>
      </c>
      <c r="L512" s="104">
        <v>45269</v>
      </c>
      <c r="M512" s="10" t="b">
        <v>0</v>
      </c>
      <c r="N512" s="10">
        <v>59</v>
      </c>
      <c r="O512" s="11">
        <v>1280</v>
      </c>
      <c r="P512" s="85">
        <v>1.4285714285714286</v>
      </c>
      <c r="Q512" s="11">
        <v>1280</v>
      </c>
      <c r="R512" s="85">
        <v>1.4285714285714286</v>
      </c>
      <c r="S512" s="29" t="s">
        <v>1998</v>
      </c>
      <c r="T512" s="29" t="s">
        <v>2039</v>
      </c>
    </row>
    <row r="513">
      <c r="B513" s="29" t="s">
        <v>1219</v>
      </c>
      <c r="C513" s="29" t="s">
        <v>1245</v>
      </c>
      <c r="D513" s="8" t="s">
        <v>1268</v>
      </c>
      <c r="E513" s="10" t="s">
        <v>1830</v>
      </c>
      <c r="F513" s="10"/>
      <c r="G513" s="10">
        <v>2</v>
      </c>
      <c r="H513" s="10">
        <v>1</v>
      </c>
      <c r="I513" s="10"/>
      <c r="J513" s="10">
        <v>896</v>
      </c>
      <c r="K513" s="104">
        <v>45115</v>
      </c>
      <c r="L513" s="104">
        <v>45245</v>
      </c>
      <c r="M513" s="10" t="b">
        <v>0</v>
      </c>
      <c r="N513" s="10">
        <v>131</v>
      </c>
      <c r="O513" s="11">
        <v>1280</v>
      </c>
      <c r="P513" s="85">
        <v>1.4285714285714286</v>
      </c>
      <c r="Q513" s="11">
        <v>1238</v>
      </c>
      <c r="R513" s="85">
        <v>1.3816964285714286</v>
      </c>
      <c r="S513" s="29" t="s">
        <v>1998</v>
      </c>
      <c r="T513" s="29" t="s">
        <v>2039</v>
      </c>
    </row>
    <row r="514">
      <c r="B514" s="29" t="s">
        <v>1219</v>
      </c>
      <c r="C514" s="29" t="s">
        <v>1245</v>
      </c>
      <c r="D514" s="8" t="s">
        <v>1269</v>
      </c>
      <c r="E514" s="10" t="s">
        <v>1831</v>
      </c>
      <c r="F514" s="10"/>
      <c r="G514" s="10">
        <v>2</v>
      </c>
      <c r="H514" s="10">
        <v>1</v>
      </c>
      <c r="I514" s="10"/>
      <c r="J514" s="10">
        <v>896</v>
      </c>
      <c r="K514" s="104">
        <v>45099</v>
      </c>
      <c r="L514" s="104">
        <v>45210</v>
      </c>
      <c r="M514" s="10" t="b">
        <v>0</v>
      </c>
      <c r="N514" s="10">
        <v>112</v>
      </c>
      <c r="O514" s="11">
        <v>1280</v>
      </c>
      <c r="P514" s="85">
        <v>1.4285714285714286</v>
      </c>
      <c r="Q514" s="11">
        <v>1280</v>
      </c>
      <c r="R514" s="85">
        <v>1.4285714285714286</v>
      </c>
      <c r="S514" s="29" t="s">
        <v>1998</v>
      </c>
      <c r="T514" s="29" t="s">
        <v>2039</v>
      </c>
    </row>
    <row r="515">
      <c r="B515" s="29" t="s">
        <v>1219</v>
      </c>
      <c r="C515" s="29" t="s">
        <v>1245</v>
      </c>
      <c r="D515" s="8" t="s">
        <v>1268</v>
      </c>
      <c r="E515" s="10" t="s">
        <v>1832</v>
      </c>
      <c r="F515" s="10">
        <v>2</v>
      </c>
      <c r="G515" s="10">
        <v>2</v>
      </c>
      <c r="H515" s="10">
        <v>1</v>
      </c>
      <c r="I515" s="10"/>
      <c r="J515" s="10">
        <v>896</v>
      </c>
      <c r="K515" s="104">
        <v>45224</v>
      </c>
      <c r="L515" s="104">
        <v>45245</v>
      </c>
      <c r="M515" s="10" t="b">
        <v>0</v>
      </c>
      <c r="N515" s="10">
        <v>22</v>
      </c>
      <c r="O515" s="11">
        <v>1280</v>
      </c>
      <c r="P515" s="85">
        <v>1.4285714285714286</v>
      </c>
      <c r="Q515" s="11">
        <v>1280</v>
      </c>
      <c r="R515" s="85">
        <v>1.4285714285714286</v>
      </c>
      <c r="S515" s="29" t="s">
        <v>1998</v>
      </c>
      <c r="T515" s="29" t="s">
        <v>2039</v>
      </c>
    </row>
    <row r="516">
      <c r="B516" s="29" t="s">
        <v>1219</v>
      </c>
      <c r="C516" s="29" t="s">
        <v>1245</v>
      </c>
      <c r="D516" s="8" t="s">
        <v>1268</v>
      </c>
      <c r="E516" s="10" t="s">
        <v>1833</v>
      </c>
      <c r="F516" s="10"/>
      <c r="G516" s="10">
        <v>2</v>
      </c>
      <c r="H516" s="10">
        <v>1</v>
      </c>
      <c r="I516" s="10"/>
      <c r="J516" s="10">
        <v>896</v>
      </c>
      <c r="K516" s="104">
        <v>45140</v>
      </c>
      <c r="L516" s="104">
        <v>45272</v>
      </c>
      <c r="M516" s="10" t="b">
        <v>0</v>
      </c>
      <c r="N516" s="10">
        <v>133</v>
      </c>
      <c r="O516" s="11">
        <v>1285</v>
      </c>
      <c r="P516" s="85">
        <v>1.4341517857142858</v>
      </c>
      <c r="Q516" s="11">
        <v>1285</v>
      </c>
      <c r="R516" s="85">
        <v>1.4341517857142858</v>
      </c>
      <c r="S516" s="29" t="s">
        <v>1998</v>
      </c>
      <c r="T516" s="29" t="s">
        <v>2039</v>
      </c>
    </row>
    <row r="517">
      <c r="B517" s="29" t="s">
        <v>1219</v>
      </c>
      <c r="C517" s="29" t="s">
        <v>1245</v>
      </c>
      <c r="D517" s="8" t="s">
        <v>1268</v>
      </c>
      <c r="E517" s="10" t="s">
        <v>1834</v>
      </c>
      <c r="F517" s="10"/>
      <c r="G517" s="10">
        <v>2</v>
      </c>
      <c r="H517" s="10">
        <v>1</v>
      </c>
      <c r="I517" s="10"/>
      <c r="J517" s="10">
        <v>896</v>
      </c>
      <c r="K517" s="104">
        <v>45204</v>
      </c>
      <c r="L517" s="104">
        <v>45217</v>
      </c>
      <c r="M517" s="10" t="b">
        <v>0</v>
      </c>
      <c r="N517" s="10">
        <v>14</v>
      </c>
      <c r="O517" s="11">
        <v>1290</v>
      </c>
      <c r="P517" s="85">
        <v>1.4397321428571428</v>
      </c>
      <c r="Q517" s="11">
        <v>1290</v>
      </c>
      <c r="R517" s="85">
        <v>1.4397321428571428</v>
      </c>
      <c r="S517" s="29" t="s">
        <v>1998</v>
      </c>
      <c r="T517" s="29" t="s">
        <v>2039</v>
      </c>
    </row>
    <row r="518">
      <c r="B518" s="29" t="s">
        <v>1219</v>
      </c>
      <c r="C518" s="29" t="s">
        <v>1245</v>
      </c>
      <c r="D518" s="8" t="s">
        <v>1269</v>
      </c>
      <c r="E518" s="10" t="s">
        <v>1835</v>
      </c>
      <c r="F518" s="10"/>
      <c r="G518" s="10">
        <v>2</v>
      </c>
      <c r="H518" s="10">
        <v>1</v>
      </c>
      <c r="I518" s="10"/>
      <c r="J518" s="10">
        <v>896</v>
      </c>
      <c r="K518" s="104"/>
      <c r="L518" s="104">
        <v>45160</v>
      </c>
      <c r="M518" s="10" t="b">
        <v>0</v>
      </c>
      <c r="N518" s="10"/>
      <c r="O518" s="11">
        <v>1330</v>
      </c>
      <c r="P518" s="85">
        <v>1.484375</v>
      </c>
      <c r="Q518" s="11">
        <v>1330</v>
      </c>
      <c r="R518" s="85">
        <v>1.484375</v>
      </c>
      <c r="S518" s="29" t="s">
        <v>1998</v>
      </c>
      <c r="T518" s="29" t="s">
        <v>2039</v>
      </c>
    </row>
    <row r="519">
      <c r="B519" s="29" t="s">
        <v>1219</v>
      </c>
      <c r="C519" s="29" t="s">
        <v>1245</v>
      </c>
      <c r="D519" s="8" t="s">
        <v>1269</v>
      </c>
      <c r="E519" s="10" t="s">
        <v>1836</v>
      </c>
      <c r="F519" s="10"/>
      <c r="G519" s="10">
        <v>2</v>
      </c>
      <c r="H519" s="10">
        <v>1</v>
      </c>
      <c r="I519" s="10"/>
      <c r="J519" s="10">
        <v>896</v>
      </c>
      <c r="K519" s="104">
        <v>45099</v>
      </c>
      <c r="L519" s="104">
        <v>45157</v>
      </c>
      <c r="M519" s="10" t="b">
        <v>0</v>
      </c>
      <c r="N519" s="10">
        <v>59</v>
      </c>
      <c r="O519" s="11">
        <v>1340</v>
      </c>
      <c r="P519" s="85">
        <v>1.4955357142857142</v>
      </c>
      <c r="Q519" s="11">
        <v>1340</v>
      </c>
      <c r="R519" s="85">
        <v>1.4955357142857142</v>
      </c>
      <c r="S519" s="29" t="s">
        <v>1998</v>
      </c>
      <c r="T519" s="29" t="s">
        <v>2039</v>
      </c>
    </row>
    <row r="520">
      <c r="B520" s="29" t="s">
        <v>1219</v>
      </c>
      <c r="C520" s="29" t="s">
        <v>1245</v>
      </c>
      <c r="D520" s="8" t="s">
        <v>1268</v>
      </c>
      <c r="E520" s="10" t="s">
        <v>1837</v>
      </c>
      <c r="F520" s="10">
        <v>1</v>
      </c>
      <c r="G520" s="10">
        <v>2</v>
      </c>
      <c r="H520" s="10">
        <v>1</v>
      </c>
      <c r="I520" s="10"/>
      <c r="J520" s="10">
        <v>896</v>
      </c>
      <c r="K520" s="104">
        <v>45207</v>
      </c>
      <c r="L520" s="104">
        <v>45302</v>
      </c>
      <c r="M520" s="10" t="b">
        <v>0</v>
      </c>
      <c r="N520" s="10">
        <v>96</v>
      </c>
      <c r="O520" s="11">
        <v>1340</v>
      </c>
      <c r="P520" s="85">
        <v>1.4955357142857142</v>
      </c>
      <c r="Q520" s="11">
        <v>1340</v>
      </c>
      <c r="R520" s="85">
        <v>1.4955357142857142</v>
      </c>
      <c r="S520" s="29" t="s">
        <v>1998</v>
      </c>
      <c r="T520" s="29" t="s">
        <v>2039</v>
      </c>
    </row>
    <row r="521">
      <c r="B521" s="29" t="s">
        <v>1219</v>
      </c>
      <c r="C521" s="29" t="s">
        <v>1245</v>
      </c>
      <c r="D521" s="8" t="s">
        <v>1269</v>
      </c>
      <c r="E521" s="10" t="s">
        <v>1838</v>
      </c>
      <c r="F521" s="10"/>
      <c r="G521" s="10">
        <v>2</v>
      </c>
      <c r="H521" s="10">
        <v>1</v>
      </c>
      <c r="I521" s="10"/>
      <c r="J521" s="10">
        <v>896</v>
      </c>
      <c r="K521" s="104">
        <v>45108</v>
      </c>
      <c r="L521" s="104">
        <v>45192</v>
      </c>
      <c r="M521" s="10" t="b">
        <v>0</v>
      </c>
      <c r="N521" s="10">
        <v>85</v>
      </c>
      <c r="O521" s="11">
        <v>1345</v>
      </c>
      <c r="P521" s="85">
        <v>1.5011160714285714</v>
      </c>
      <c r="Q521" s="11">
        <v>1345</v>
      </c>
      <c r="R521" s="85">
        <v>1.5011160714285714</v>
      </c>
      <c r="S521" s="29" t="s">
        <v>1998</v>
      </c>
      <c r="T521" s="29" t="s">
        <v>2039</v>
      </c>
    </row>
    <row r="522">
      <c r="B522" s="29" t="s">
        <v>1219</v>
      </c>
      <c r="C522" s="29" t="s">
        <v>1245</v>
      </c>
      <c r="D522" s="8" t="s">
        <v>1267</v>
      </c>
      <c r="E522" s="10" t="s">
        <v>1839</v>
      </c>
      <c r="F522" s="10"/>
      <c r="G522" s="10">
        <v>2</v>
      </c>
      <c r="H522" s="10">
        <v>1</v>
      </c>
      <c r="I522" s="10"/>
      <c r="J522" s="10">
        <v>896</v>
      </c>
      <c r="K522" s="104">
        <v>45325</v>
      </c>
      <c r="L522" s="104">
        <v>45367</v>
      </c>
      <c r="M522" s="10" t="b">
        <v>0</v>
      </c>
      <c r="N522" s="10">
        <v>43</v>
      </c>
      <c r="O522" s="11">
        <v>1375</v>
      </c>
      <c r="P522" s="85">
        <v>1.5345982142857142</v>
      </c>
      <c r="Q522" s="11">
        <v>1375</v>
      </c>
      <c r="R522" s="85">
        <v>1.5345982142857142</v>
      </c>
      <c r="S522" s="29" t="s">
        <v>1998</v>
      </c>
      <c r="T522" s="29" t="s">
        <v>2039</v>
      </c>
    </row>
    <row r="523">
      <c r="B523" s="29" t="s">
        <v>1219</v>
      </c>
      <c r="C523" s="29" t="s">
        <v>1245</v>
      </c>
      <c r="D523" s="8" t="s">
        <v>1267</v>
      </c>
      <c r="E523" s="10" t="s">
        <v>1840</v>
      </c>
      <c r="F523" s="10"/>
      <c r="G523" s="10">
        <v>2</v>
      </c>
      <c r="H523" s="10">
        <v>1</v>
      </c>
      <c r="I523" s="10"/>
      <c r="J523" s="10">
        <v>896</v>
      </c>
      <c r="K523" s="104">
        <v>45279</v>
      </c>
      <c r="L523" s="104">
        <v>45351</v>
      </c>
      <c r="M523" s="10" t="b">
        <v>0</v>
      </c>
      <c r="N523" s="10">
        <v>73</v>
      </c>
      <c r="O523" s="11">
        <v>1380</v>
      </c>
      <c r="P523" s="85">
        <v>1.5401785714285714</v>
      </c>
      <c r="Q523" s="11">
        <v>1380</v>
      </c>
      <c r="R523" s="85">
        <v>1.5401785714285714</v>
      </c>
      <c r="S523" s="29" t="s">
        <v>1998</v>
      </c>
      <c r="T523" s="29" t="s">
        <v>2039</v>
      </c>
    </row>
    <row r="524">
      <c r="B524" s="29" t="s">
        <v>1219</v>
      </c>
      <c r="C524" s="29" t="s">
        <v>1245</v>
      </c>
      <c r="D524" s="8" t="s">
        <v>1267</v>
      </c>
      <c r="E524" s="10" t="s">
        <v>1841</v>
      </c>
      <c r="F524" s="10"/>
      <c r="G524" s="10">
        <v>2</v>
      </c>
      <c r="H524" s="10">
        <v>1</v>
      </c>
      <c r="I524" s="10"/>
      <c r="J524" s="10">
        <v>896</v>
      </c>
      <c r="K524" s="104">
        <v>45336</v>
      </c>
      <c r="L524" s="104">
        <v>45340</v>
      </c>
      <c r="M524" s="10" t="b">
        <v>0</v>
      </c>
      <c r="N524" s="10">
        <v>5</v>
      </c>
      <c r="O524" s="11">
        <v>1390</v>
      </c>
      <c r="P524" s="85">
        <v>1.5513392857142858</v>
      </c>
      <c r="Q524" s="11">
        <v>1390</v>
      </c>
      <c r="R524" s="85">
        <v>1.5513392857142858</v>
      </c>
      <c r="S524" s="29" t="s">
        <v>1998</v>
      </c>
      <c r="T524" s="29" t="s">
        <v>2039</v>
      </c>
    </row>
    <row r="525">
      <c r="B525" s="29" t="s">
        <v>1219</v>
      </c>
      <c r="C525" s="29" t="s">
        <v>1245</v>
      </c>
      <c r="D525" s="8" t="s">
        <v>1267</v>
      </c>
      <c r="E525" s="10" t="s">
        <v>1842</v>
      </c>
      <c r="F525" s="10"/>
      <c r="G525" s="10">
        <v>2</v>
      </c>
      <c r="H525" s="10">
        <v>1</v>
      </c>
      <c r="I525" s="10"/>
      <c r="J525" s="10">
        <v>896</v>
      </c>
      <c r="K525" s="104">
        <v>45328</v>
      </c>
      <c r="L525" s="104">
        <v>45394</v>
      </c>
      <c r="M525" s="10" t="b">
        <v>0</v>
      </c>
      <c r="N525" s="10">
        <v>67</v>
      </c>
      <c r="O525" s="11">
        <v>1395</v>
      </c>
      <c r="P525" s="85">
        <v>1.5569196428571428</v>
      </c>
      <c r="Q525" s="11">
        <v>1395</v>
      </c>
      <c r="R525" s="85">
        <v>1.5569196428571428</v>
      </c>
      <c r="S525" s="29" t="s">
        <v>1998</v>
      </c>
      <c r="T525" s="29" t="s">
        <v>2039</v>
      </c>
    </row>
    <row r="526">
      <c r="B526" s="29" t="s">
        <v>1219</v>
      </c>
      <c r="C526" s="29" t="s">
        <v>1245</v>
      </c>
      <c r="D526" s="8" t="s">
        <v>1268</v>
      </c>
      <c r="E526" s="10" t="s">
        <v>1843</v>
      </c>
      <c r="F526" s="10"/>
      <c r="G526" s="10">
        <v>2</v>
      </c>
      <c r="H526" s="10">
        <v>1</v>
      </c>
      <c r="I526" s="10"/>
      <c r="J526" s="10">
        <v>896</v>
      </c>
      <c r="K526" s="104">
        <v>45309</v>
      </c>
      <c r="L526" s="104">
        <v>45324</v>
      </c>
      <c r="M526" s="10" t="b">
        <v>0</v>
      </c>
      <c r="N526" s="10">
        <v>16</v>
      </c>
      <c r="O526" s="11">
        <v>1405</v>
      </c>
      <c r="P526" s="85">
        <v>1.5680803571428572</v>
      </c>
      <c r="Q526" s="11">
        <v>1405</v>
      </c>
      <c r="R526" s="85">
        <v>1.5680803571428572</v>
      </c>
      <c r="S526" s="29" t="s">
        <v>1998</v>
      </c>
      <c r="T526" s="29" t="s">
        <v>2039</v>
      </c>
    </row>
    <row r="527">
      <c r="B527" s="29" t="s">
        <v>1219</v>
      </c>
      <c r="C527" s="29" t="s">
        <v>1245</v>
      </c>
      <c r="D527" s="8" t="s">
        <v>1269</v>
      </c>
      <c r="E527" s="10" t="s">
        <v>1844</v>
      </c>
      <c r="F527" s="10"/>
      <c r="G527" s="10">
        <v>2</v>
      </c>
      <c r="H527" s="10">
        <v>1</v>
      </c>
      <c r="I527" s="10"/>
      <c r="J527" s="10">
        <v>896</v>
      </c>
      <c r="K527" s="104"/>
      <c r="L527" s="104">
        <v>45121</v>
      </c>
      <c r="M527" s="10" t="b">
        <v>0</v>
      </c>
      <c r="N527" s="10"/>
      <c r="O527" s="11">
        <v>1405</v>
      </c>
      <c r="P527" s="85">
        <v>1.5680803571428572</v>
      </c>
      <c r="Q527" s="11">
        <v>1363</v>
      </c>
      <c r="R527" s="85">
        <v>1.5212053571428572</v>
      </c>
      <c r="S527" s="29" t="s">
        <v>1998</v>
      </c>
      <c r="T527" s="29" t="s">
        <v>2039</v>
      </c>
    </row>
    <row r="528">
      <c r="B528" s="29" t="s">
        <v>1219</v>
      </c>
      <c r="C528" s="29" t="s">
        <v>1245</v>
      </c>
      <c r="D528" s="8" t="s">
        <v>1267</v>
      </c>
      <c r="E528" s="10" t="s">
        <v>1845</v>
      </c>
      <c r="F528" s="10"/>
      <c r="G528" s="10">
        <v>2</v>
      </c>
      <c r="H528" s="10">
        <v>1</v>
      </c>
      <c r="I528" s="10"/>
      <c r="J528" s="10">
        <v>896</v>
      </c>
      <c r="K528" s="104">
        <v>45324</v>
      </c>
      <c r="L528" s="104">
        <v>45333</v>
      </c>
      <c r="M528" s="10" t="b">
        <v>0</v>
      </c>
      <c r="N528" s="10">
        <v>10</v>
      </c>
      <c r="O528" s="11">
        <v>1405</v>
      </c>
      <c r="P528" s="85">
        <v>1.5680803571428572</v>
      </c>
      <c r="Q528" s="11">
        <v>1405</v>
      </c>
      <c r="R528" s="85">
        <v>1.5680803571428572</v>
      </c>
      <c r="S528" s="29" t="s">
        <v>1998</v>
      </c>
      <c r="T528" s="29" t="s">
        <v>2039</v>
      </c>
    </row>
    <row r="529">
      <c r="B529" s="29" t="s">
        <v>1219</v>
      </c>
      <c r="C529" s="29" t="s">
        <v>1245</v>
      </c>
      <c r="D529" s="8" t="s">
        <v>1269</v>
      </c>
      <c r="E529" s="10" t="s">
        <v>1846</v>
      </c>
      <c r="F529" s="10"/>
      <c r="G529" s="10">
        <v>2</v>
      </c>
      <c r="H529" s="10">
        <v>1</v>
      </c>
      <c r="I529" s="10"/>
      <c r="J529" s="10">
        <v>896</v>
      </c>
      <c r="K529" s="104"/>
      <c r="L529" s="104">
        <v>45125</v>
      </c>
      <c r="M529" s="10" t="b">
        <v>0</v>
      </c>
      <c r="N529" s="10"/>
      <c r="O529" s="11">
        <v>1410</v>
      </c>
      <c r="P529" s="85">
        <v>1.5736607142857142</v>
      </c>
      <c r="Q529" s="11">
        <v>1368</v>
      </c>
      <c r="R529" s="85">
        <v>1.5267857142857142</v>
      </c>
      <c r="S529" s="29" t="s">
        <v>1998</v>
      </c>
      <c r="T529" s="29" t="s">
        <v>2039</v>
      </c>
    </row>
    <row r="530">
      <c r="B530" s="29" t="s">
        <v>1219</v>
      </c>
      <c r="C530" s="29" t="s">
        <v>1245</v>
      </c>
      <c r="D530" s="8" t="s">
        <v>1269</v>
      </c>
      <c r="E530" s="10" t="s">
        <v>1847</v>
      </c>
      <c r="F530" s="10"/>
      <c r="G530" s="10">
        <v>2</v>
      </c>
      <c r="H530" s="10">
        <v>1</v>
      </c>
      <c r="I530" s="10"/>
      <c r="J530" s="10">
        <v>896</v>
      </c>
      <c r="K530" s="104"/>
      <c r="L530" s="104">
        <v>45128</v>
      </c>
      <c r="M530" s="10" t="b">
        <v>0</v>
      </c>
      <c r="N530" s="10"/>
      <c r="O530" s="11">
        <v>1410</v>
      </c>
      <c r="P530" s="85">
        <v>1.5736607142857142</v>
      </c>
      <c r="Q530" s="11">
        <v>1368</v>
      </c>
      <c r="R530" s="85">
        <v>1.5267857142857142</v>
      </c>
      <c r="S530" s="29" t="s">
        <v>1998</v>
      </c>
      <c r="T530" s="29" t="s">
        <v>2039</v>
      </c>
    </row>
    <row r="531">
      <c r="B531" s="29" t="s">
        <v>1219</v>
      </c>
      <c r="C531" s="29" t="s">
        <v>1245</v>
      </c>
      <c r="D531" s="8" t="s">
        <v>1269</v>
      </c>
      <c r="E531" s="10" t="s">
        <v>1848</v>
      </c>
      <c r="F531" s="10"/>
      <c r="G531" s="10">
        <v>2</v>
      </c>
      <c r="H531" s="10">
        <v>1</v>
      </c>
      <c r="I531" s="10"/>
      <c r="J531" s="10">
        <v>896</v>
      </c>
      <c r="K531" s="104">
        <v>45099</v>
      </c>
      <c r="L531" s="104">
        <v>45134</v>
      </c>
      <c r="M531" s="10" t="b">
        <v>0</v>
      </c>
      <c r="N531" s="10">
        <v>36</v>
      </c>
      <c r="O531" s="11">
        <v>1415</v>
      </c>
      <c r="P531" s="85">
        <v>1.5792410714285714</v>
      </c>
      <c r="Q531" s="11">
        <v>1415</v>
      </c>
      <c r="R531" s="85">
        <v>1.5792410714285714</v>
      </c>
      <c r="S531" s="29" t="s">
        <v>1998</v>
      </c>
      <c r="T531" s="29" t="s">
        <v>2039</v>
      </c>
    </row>
    <row r="532">
      <c r="B532" s="29" t="s">
        <v>1219</v>
      </c>
      <c r="C532" s="29" t="s">
        <v>1245</v>
      </c>
      <c r="D532" s="8" t="s">
        <v>1267</v>
      </c>
      <c r="E532" s="10" t="s">
        <v>1849</v>
      </c>
      <c r="F532" s="10"/>
      <c r="G532" s="10">
        <v>2</v>
      </c>
      <c r="H532" s="10">
        <v>1</v>
      </c>
      <c r="I532" s="10"/>
      <c r="J532" s="10">
        <v>896</v>
      </c>
      <c r="K532" s="104">
        <v>45339</v>
      </c>
      <c r="L532" s="104">
        <v>45385</v>
      </c>
      <c r="M532" s="10" t="b">
        <v>0</v>
      </c>
      <c r="N532" s="10">
        <v>47</v>
      </c>
      <c r="O532" s="11">
        <v>1420</v>
      </c>
      <c r="P532" s="85">
        <v>1.5848214285714286</v>
      </c>
      <c r="Q532" s="11">
        <v>1420</v>
      </c>
      <c r="R532" s="85">
        <v>1.5848214285714286</v>
      </c>
      <c r="S532" s="29" t="s">
        <v>1998</v>
      </c>
      <c r="T532" s="29" t="s">
        <v>2039</v>
      </c>
    </row>
    <row r="533">
      <c r="B533" s="29" t="s">
        <v>1219</v>
      </c>
      <c r="C533" s="29" t="s">
        <v>1245</v>
      </c>
      <c r="D533" s="8" t="s">
        <v>1269</v>
      </c>
      <c r="E533" s="10" t="s">
        <v>1850</v>
      </c>
      <c r="F533" s="10"/>
      <c r="G533" s="10">
        <v>2</v>
      </c>
      <c r="H533" s="10">
        <v>1</v>
      </c>
      <c r="I533" s="10"/>
      <c r="J533" s="10">
        <v>896</v>
      </c>
      <c r="K533" s="104"/>
      <c r="L533" s="104">
        <v>45100</v>
      </c>
      <c r="M533" s="10" t="b">
        <v>0</v>
      </c>
      <c r="N533" s="10"/>
      <c r="O533" s="11">
        <v>1435</v>
      </c>
      <c r="P533" s="85">
        <v>1.6015625</v>
      </c>
      <c r="Q533" s="11">
        <v>1406</v>
      </c>
      <c r="R533" s="85">
        <v>1.5691964285714286</v>
      </c>
      <c r="S533" s="29" t="s">
        <v>1998</v>
      </c>
      <c r="T533" s="29" t="s">
        <v>2039</v>
      </c>
    </row>
    <row r="534">
      <c r="B534" s="29" t="s">
        <v>1219</v>
      </c>
      <c r="C534" s="29" t="s">
        <v>1245</v>
      </c>
      <c r="D534" s="8" t="s">
        <v>1267</v>
      </c>
      <c r="E534" s="10" t="s">
        <v>1851</v>
      </c>
      <c r="F534" s="10"/>
      <c r="G534" s="10">
        <v>2</v>
      </c>
      <c r="H534" s="10">
        <v>1</v>
      </c>
      <c r="I534" s="10"/>
      <c r="J534" s="10">
        <v>896</v>
      </c>
      <c r="K534" s="104">
        <v>45218</v>
      </c>
      <c r="L534" s="104">
        <v>45398</v>
      </c>
      <c r="M534" s="10" t="b">
        <v>0</v>
      </c>
      <c r="N534" s="10">
        <v>181</v>
      </c>
      <c r="O534" s="11">
        <v>1540</v>
      </c>
      <c r="P534" s="85">
        <v>1.71875</v>
      </c>
      <c r="Q534" s="11">
        <v>1540</v>
      </c>
      <c r="R534" s="85">
        <v>1.71875</v>
      </c>
      <c r="S534" s="29" t="s">
        <v>1998</v>
      </c>
      <c r="T534" s="29" t="s">
        <v>2039</v>
      </c>
    </row>
    <row r="535">
      <c r="B535" s="29" t="s">
        <v>1219</v>
      </c>
      <c r="C535" s="29" t="s">
        <v>1245</v>
      </c>
      <c r="D535" s="8" t="s">
        <v>1270</v>
      </c>
      <c r="E535" s="10"/>
      <c r="F535" s="10"/>
      <c r="G535" s="10">
        <v>3</v>
      </c>
      <c r="H535" s="10">
        <v>1</v>
      </c>
      <c r="I535" s="10"/>
      <c r="J535" s="10">
        <v>1088</v>
      </c>
      <c r="K535" s="104">
        <v>45296</v>
      </c>
      <c r="L535" s="104">
        <v>45297</v>
      </c>
      <c r="M535" s="10" t="b">
        <v>0</v>
      </c>
      <c r="N535" s="10">
        <v>2</v>
      </c>
      <c r="O535" s="11"/>
      <c r="P535" s="85"/>
      <c r="Q535" s="11"/>
      <c r="R535" s="85"/>
      <c r="S535" s="29" t="s">
        <v>1998</v>
      </c>
      <c r="T535" s="29" t="s">
        <v>2039</v>
      </c>
    </row>
    <row r="536">
      <c r="B536" s="29" t="s">
        <v>1219</v>
      </c>
      <c r="C536" s="29" t="s">
        <v>1245</v>
      </c>
      <c r="D536" s="8" t="s">
        <v>1271</v>
      </c>
      <c r="E536" s="10" t="s">
        <v>1852</v>
      </c>
      <c r="F536" s="10"/>
      <c r="G536" s="10">
        <v>3</v>
      </c>
      <c r="H536" s="10">
        <v>1</v>
      </c>
      <c r="I536" s="10"/>
      <c r="J536" s="10">
        <v>1088</v>
      </c>
      <c r="K536" s="104">
        <v>45616</v>
      </c>
      <c r="L536" s="104">
        <v>45772</v>
      </c>
      <c r="M536" s="10" t="b">
        <v>0</v>
      </c>
      <c r="N536" s="10">
        <v>157</v>
      </c>
      <c r="O536" s="11">
        <v>1545</v>
      </c>
      <c r="P536" s="85">
        <v>1.4200367647058822</v>
      </c>
      <c r="Q536" s="11">
        <v>1545</v>
      </c>
      <c r="R536" s="85">
        <v>1.4200367647058822</v>
      </c>
      <c r="S536" s="29" t="s">
        <v>2027</v>
      </c>
      <c r="T536" s="29" t="s">
        <v>2040</v>
      </c>
    </row>
    <row r="537">
      <c r="B537" s="29" t="s">
        <v>1219</v>
      </c>
      <c r="C537" s="29" t="s">
        <v>1245</v>
      </c>
      <c r="D537" s="8" t="s">
        <v>1271</v>
      </c>
      <c r="E537" s="10" t="s">
        <v>1853</v>
      </c>
      <c r="F537" s="10"/>
      <c r="G537" s="10">
        <v>3</v>
      </c>
      <c r="H537" s="10">
        <v>1</v>
      </c>
      <c r="I537" s="10"/>
      <c r="J537" s="10">
        <v>1088</v>
      </c>
      <c r="K537" s="104">
        <v>45688</v>
      </c>
      <c r="L537" s="104">
        <v>45783</v>
      </c>
      <c r="M537" s="10" t="b">
        <v>0</v>
      </c>
      <c r="N537" s="10">
        <v>96</v>
      </c>
      <c r="O537" s="11">
        <v>1545</v>
      </c>
      <c r="P537" s="85">
        <v>1.4200367647058822</v>
      </c>
      <c r="Q537" s="11">
        <v>1545</v>
      </c>
      <c r="R537" s="85">
        <v>1.4200367647058822</v>
      </c>
      <c r="S537" s="29" t="s">
        <v>2013</v>
      </c>
      <c r="T537" s="29" t="s">
        <v>2040</v>
      </c>
    </row>
    <row r="538">
      <c r="B538" s="29" t="s">
        <v>1219</v>
      </c>
      <c r="C538" s="29" t="s">
        <v>1245</v>
      </c>
      <c r="D538" s="8" t="s">
        <v>1271</v>
      </c>
      <c r="E538" s="10" t="s">
        <v>1854</v>
      </c>
      <c r="F538" s="10"/>
      <c r="G538" s="10">
        <v>3</v>
      </c>
      <c r="H538" s="10">
        <v>1</v>
      </c>
      <c r="I538" s="10"/>
      <c r="J538" s="10">
        <v>1088</v>
      </c>
      <c r="K538" s="104">
        <v>45763</v>
      </c>
      <c r="L538" s="104">
        <v>45766</v>
      </c>
      <c r="M538" s="10" t="b">
        <v>0</v>
      </c>
      <c r="N538" s="10">
        <v>4</v>
      </c>
      <c r="O538" s="11">
        <v>1545</v>
      </c>
      <c r="P538" s="85">
        <v>1.4200367647058822</v>
      </c>
      <c r="Q538" s="11">
        <v>1545</v>
      </c>
      <c r="R538" s="85">
        <v>1.4200367647058822</v>
      </c>
      <c r="S538" s="29" t="s">
        <v>2013</v>
      </c>
      <c r="T538" s="29" t="s">
        <v>2040</v>
      </c>
    </row>
    <row r="539">
      <c r="B539" s="29" t="s">
        <v>1219</v>
      </c>
      <c r="C539" s="29" t="s">
        <v>1245</v>
      </c>
      <c r="D539" s="8" t="s">
        <v>1271</v>
      </c>
      <c r="E539" s="10" t="s">
        <v>1855</v>
      </c>
      <c r="F539" s="10">
        <v>1</v>
      </c>
      <c r="G539" s="10">
        <v>3</v>
      </c>
      <c r="H539" s="10">
        <v>1</v>
      </c>
      <c r="I539" s="10"/>
      <c r="J539" s="10">
        <v>1088</v>
      </c>
      <c r="K539" s="104">
        <v>45483</v>
      </c>
      <c r="L539" s="104">
        <v>45603</v>
      </c>
      <c r="M539" s="10" t="b">
        <v>0</v>
      </c>
      <c r="N539" s="10">
        <v>121</v>
      </c>
      <c r="O539" s="11">
        <v>1545</v>
      </c>
      <c r="P539" s="85">
        <v>1.4200367647058822</v>
      </c>
      <c r="Q539" s="11">
        <v>1495</v>
      </c>
      <c r="R539" s="85">
        <v>1.3740808823529411</v>
      </c>
      <c r="S539" s="29" t="s">
        <v>2011</v>
      </c>
      <c r="T539" s="29" t="s">
        <v>2038</v>
      </c>
    </row>
    <row r="540">
      <c r="B540" s="29" t="s">
        <v>1219</v>
      </c>
      <c r="C540" s="29" t="s">
        <v>1245</v>
      </c>
      <c r="D540" s="8" t="s">
        <v>1271</v>
      </c>
      <c r="E540" s="10" t="s">
        <v>1856</v>
      </c>
      <c r="F540" s="10"/>
      <c r="G540" s="10">
        <v>3</v>
      </c>
      <c r="H540" s="10">
        <v>1</v>
      </c>
      <c r="I540" s="10"/>
      <c r="J540" s="10">
        <v>1088</v>
      </c>
      <c r="K540" s="104">
        <v>45745</v>
      </c>
      <c r="L540" s="104">
        <v>45764</v>
      </c>
      <c r="M540" s="10" t="b">
        <v>0</v>
      </c>
      <c r="N540" s="10">
        <v>20</v>
      </c>
      <c r="O540" s="11">
        <v>1550</v>
      </c>
      <c r="P540" s="85">
        <v>1.4246323529411764</v>
      </c>
      <c r="Q540" s="11">
        <v>1550</v>
      </c>
      <c r="R540" s="85">
        <v>1.4246323529411764</v>
      </c>
      <c r="S540" s="29" t="s">
        <v>2013</v>
      </c>
      <c r="T540" s="29" t="s">
        <v>2040</v>
      </c>
    </row>
    <row r="541">
      <c r="B541" s="29" t="s">
        <v>1219</v>
      </c>
      <c r="C541" s="29" t="s">
        <v>1245</v>
      </c>
      <c r="D541" s="8" t="s">
        <v>1271</v>
      </c>
      <c r="E541" s="10" t="s">
        <v>1857</v>
      </c>
      <c r="F541" s="10"/>
      <c r="G541" s="10">
        <v>3</v>
      </c>
      <c r="H541" s="10">
        <v>1</v>
      </c>
      <c r="I541" s="10"/>
      <c r="J541" s="10">
        <v>1088</v>
      </c>
      <c r="K541" s="104">
        <v>45752</v>
      </c>
      <c r="L541" s="104"/>
      <c r="M541" s="10" t="b">
        <v>1</v>
      </c>
      <c r="N541" s="10"/>
      <c r="O541" s="11">
        <v>1560</v>
      </c>
      <c r="P541" s="85">
        <v>1.4338235294117647</v>
      </c>
      <c r="Q541" s="11">
        <v>1518</v>
      </c>
      <c r="R541" s="85">
        <v>1.3952205882352942</v>
      </c>
      <c r="S541" s="29" t="s">
        <v>2013</v>
      </c>
      <c r="T541" s="29" t="s">
        <v>2040</v>
      </c>
    </row>
    <row r="542">
      <c r="B542" s="29" t="s">
        <v>1219</v>
      </c>
      <c r="C542" s="29" t="s">
        <v>1245</v>
      </c>
      <c r="D542" s="8" t="s">
        <v>1271</v>
      </c>
      <c r="E542" s="10" t="s">
        <v>1858</v>
      </c>
      <c r="F542" s="10">
        <v>2</v>
      </c>
      <c r="G542" s="10">
        <v>3</v>
      </c>
      <c r="H542" s="10">
        <v>1</v>
      </c>
      <c r="I542" s="10"/>
      <c r="J542" s="10">
        <v>1088</v>
      </c>
      <c r="K542" s="104">
        <v>45730</v>
      </c>
      <c r="L542" s="104"/>
      <c r="M542" s="10" t="b">
        <v>1</v>
      </c>
      <c r="N542" s="10"/>
      <c r="O542" s="11">
        <v>1560</v>
      </c>
      <c r="P542" s="85">
        <v>1.4338235294117647</v>
      </c>
      <c r="Q542" s="11">
        <v>1560</v>
      </c>
      <c r="R542" s="85">
        <v>1.4338235294117647</v>
      </c>
      <c r="S542" s="29" t="s">
        <v>2013</v>
      </c>
      <c r="T542" s="29" t="s">
        <v>2040</v>
      </c>
    </row>
    <row r="543">
      <c r="B543" s="29" t="s">
        <v>1219</v>
      </c>
      <c r="C543" s="29" t="s">
        <v>1245</v>
      </c>
      <c r="D543" s="8" t="s">
        <v>1271</v>
      </c>
      <c r="E543" s="10" t="s">
        <v>1859</v>
      </c>
      <c r="F543" s="10"/>
      <c r="G543" s="10">
        <v>3</v>
      </c>
      <c r="H543" s="10">
        <v>1</v>
      </c>
      <c r="I543" s="10"/>
      <c r="J543" s="10">
        <v>1088</v>
      </c>
      <c r="K543" s="104">
        <v>45679</v>
      </c>
      <c r="L543" s="104"/>
      <c r="M543" s="10" t="b">
        <v>1</v>
      </c>
      <c r="N543" s="10"/>
      <c r="O543" s="11">
        <v>1565</v>
      </c>
      <c r="P543" s="85">
        <v>1.4384191176470589</v>
      </c>
      <c r="Q543" s="11">
        <v>1523</v>
      </c>
      <c r="R543" s="85">
        <v>1.3998161764705883</v>
      </c>
      <c r="S543" s="29" t="s">
        <v>2013</v>
      </c>
      <c r="T543" s="29" t="s">
        <v>2040</v>
      </c>
    </row>
    <row r="544">
      <c r="B544" s="29" t="s">
        <v>1219</v>
      </c>
      <c r="C544" s="29" t="s">
        <v>1245</v>
      </c>
      <c r="D544" s="8" t="s">
        <v>1271</v>
      </c>
      <c r="E544" s="10" t="s">
        <v>1860</v>
      </c>
      <c r="F544" s="10">
        <v>2</v>
      </c>
      <c r="G544" s="10">
        <v>3</v>
      </c>
      <c r="H544" s="10">
        <v>1</v>
      </c>
      <c r="I544" s="10"/>
      <c r="J544" s="10">
        <v>1088</v>
      </c>
      <c r="K544" s="104">
        <v>45631</v>
      </c>
      <c r="L544" s="104"/>
      <c r="M544" s="10" t="b">
        <v>1</v>
      </c>
      <c r="N544" s="10"/>
      <c r="O544" s="11">
        <v>1565</v>
      </c>
      <c r="P544" s="85">
        <v>1.4384191176470589</v>
      </c>
      <c r="Q544" s="11">
        <v>1523</v>
      </c>
      <c r="R544" s="85">
        <v>1.3998161764705883</v>
      </c>
      <c r="S544" s="29" t="s">
        <v>2013</v>
      </c>
      <c r="T544" s="29" t="s">
        <v>2040</v>
      </c>
    </row>
    <row r="545">
      <c r="B545" s="29" t="s">
        <v>1219</v>
      </c>
      <c r="C545" s="29" t="s">
        <v>1245</v>
      </c>
      <c r="D545" s="8" t="s">
        <v>1271</v>
      </c>
      <c r="E545" s="10" t="s">
        <v>1861</v>
      </c>
      <c r="F545" s="10"/>
      <c r="G545" s="10">
        <v>3</v>
      </c>
      <c r="H545" s="10">
        <v>1</v>
      </c>
      <c r="I545" s="10"/>
      <c r="J545" s="10">
        <v>1088</v>
      </c>
      <c r="K545" s="104">
        <v>45393</v>
      </c>
      <c r="L545" s="104">
        <v>45582</v>
      </c>
      <c r="M545" s="10" t="b">
        <v>0</v>
      </c>
      <c r="N545" s="10">
        <v>190</v>
      </c>
      <c r="O545" s="11">
        <v>1570</v>
      </c>
      <c r="P545" s="85">
        <v>1.443014705882353</v>
      </c>
      <c r="Q545" s="11">
        <v>1528</v>
      </c>
      <c r="R545" s="85">
        <v>1.4044117647058822</v>
      </c>
      <c r="S545" s="29" t="s">
        <v>2028</v>
      </c>
      <c r="T545" s="29" t="s">
        <v>2038</v>
      </c>
    </row>
    <row r="546">
      <c r="B546" s="29" t="s">
        <v>1219</v>
      </c>
      <c r="C546" s="29" t="s">
        <v>1245</v>
      </c>
      <c r="D546" s="8" t="s">
        <v>1271</v>
      </c>
      <c r="E546" s="10" t="s">
        <v>1862</v>
      </c>
      <c r="F546" s="10"/>
      <c r="G546" s="10">
        <v>3</v>
      </c>
      <c r="H546" s="10">
        <v>1</v>
      </c>
      <c r="I546" s="10"/>
      <c r="J546" s="10">
        <v>1088</v>
      </c>
      <c r="K546" s="104">
        <v>45636</v>
      </c>
      <c r="L546" s="104"/>
      <c r="M546" s="10" t="b">
        <v>1</v>
      </c>
      <c r="N546" s="10"/>
      <c r="O546" s="11">
        <v>1575</v>
      </c>
      <c r="P546" s="85">
        <v>1.447610294117647</v>
      </c>
      <c r="Q546" s="11">
        <v>1533</v>
      </c>
      <c r="R546" s="85">
        <v>1.4090073529411764</v>
      </c>
      <c r="S546" s="29" t="s">
        <v>2013</v>
      </c>
      <c r="T546" s="29" t="s">
        <v>2040</v>
      </c>
    </row>
    <row r="547">
      <c r="B547" s="29" t="s">
        <v>1219</v>
      </c>
      <c r="C547" s="29" t="s">
        <v>1245</v>
      </c>
      <c r="D547" s="8" t="s">
        <v>1271</v>
      </c>
      <c r="E547" s="10" t="s">
        <v>1863</v>
      </c>
      <c r="F547" s="10"/>
      <c r="G547" s="10">
        <v>3</v>
      </c>
      <c r="H547" s="10">
        <v>1</v>
      </c>
      <c r="I547" s="10"/>
      <c r="J547" s="10">
        <v>1088</v>
      </c>
      <c r="K547" s="104">
        <v>45694</v>
      </c>
      <c r="L547" s="104"/>
      <c r="M547" s="10" t="b">
        <v>1</v>
      </c>
      <c r="N547" s="10"/>
      <c r="O547" s="11">
        <v>1575</v>
      </c>
      <c r="P547" s="85">
        <v>1.447610294117647</v>
      </c>
      <c r="Q547" s="11">
        <v>1575</v>
      </c>
      <c r="R547" s="85">
        <v>1.447610294117647</v>
      </c>
      <c r="S547" s="29" t="s">
        <v>2013</v>
      </c>
      <c r="T547" s="29" t="s">
        <v>2040</v>
      </c>
    </row>
    <row r="548">
      <c r="B548" s="29" t="s">
        <v>1219</v>
      </c>
      <c r="C548" s="29" t="s">
        <v>1245</v>
      </c>
      <c r="D548" s="8" t="s">
        <v>1271</v>
      </c>
      <c r="E548" s="10" t="s">
        <v>1864</v>
      </c>
      <c r="F548" s="10"/>
      <c r="G548" s="10">
        <v>3</v>
      </c>
      <c r="H548" s="10">
        <v>1</v>
      </c>
      <c r="I548" s="10"/>
      <c r="J548" s="10">
        <v>1088</v>
      </c>
      <c r="K548" s="104">
        <v>45752</v>
      </c>
      <c r="L548" s="104">
        <v>45762</v>
      </c>
      <c r="M548" s="10" t="b">
        <v>0</v>
      </c>
      <c r="N548" s="10">
        <v>11</v>
      </c>
      <c r="O548" s="11">
        <v>1580</v>
      </c>
      <c r="P548" s="85">
        <v>1.4522058823529411</v>
      </c>
      <c r="Q548" s="11">
        <v>1580</v>
      </c>
      <c r="R548" s="85">
        <v>1.4522058823529411</v>
      </c>
      <c r="S548" s="29" t="s">
        <v>2013</v>
      </c>
      <c r="T548" s="29" t="s">
        <v>2040</v>
      </c>
    </row>
    <row r="549">
      <c r="B549" s="29" t="s">
        <v>1219</v>
      </c>
      <c r="C549" s="29" t="s">
        <v>1245</v>
      </c>
      <c r="D549" s="8" t="s">
        <v>1271</v>
      </c>
      <c r="E549" s="10" t="s">
        <v>1865</v>
      </c>
      <c r="F549" s="10"/>
      <c r="G549" s="10">
        <v>3</v>
      </c>
      <c r="H549" s="10">
        <v>1</v>
      </c>
      <c r="I549" s="10"/>
      <c r="J549" s="10">
        <v>1088</v>
      </c>
      <c r="K549" s="104">
        <v>45644</v>
      </c>
      <c r="L549" s="104">
        <v>45716</v>
      </c>
      <c r="M549" s="10" t="b">
        <v>0</v>
      </c>
      <c r="N549" s="10">
        <v>73</v>
      </c>
      <c r="O549" s="11">
        <v>1585</v>
      </c>
      <c r="P549" s="85">
        <v>1.4568014705882353</v>
      </c>
      <c r="Q549" s="11">
        <v>1585</v>
      </c>
      <c r="R549" s="85">
        <v>1.4568014705882353</v>
      </c>
      <c r="S549" s="29" t="s">
        <v>2011</v>
      </c>
      <c r="T549" s="29" t="s">
        <v>2038</v>
      </c>
    </row>
    <row r="550">
      <c r="B550" s="29" t="s">
        <v>1219</v>
      </c>
      <c r="C550" s="29" t="s">
        <v>1245</v>
      </c>
      <c r="D550" s="8" t="s">
        <v>1271</v>
      </c>
      <c r="E550" s="10" t="s">
        <v>1866</v>
      </c>
      <c r="F550" s="10"/>
      <c r="G550" s="10">
        <v>3</v>
      </c>
      <c r="H550" s="10">
        <v>1</v>
      </c>
      <c r="I550" s="10"/>
      <c r="J550" s="10">
        <v>1088</v>
      </c>
      <c r="K550" s="104">
        <v>45572</v>
      </c>
      <c r="L550" s="104">
        <v>45716</v>
      </c>
      <c r="M550" s="10" t="b">
        <v>0</v>
      </c>
      <c r="N550" s="10">
        <v>145</v>
      </c>
      <c r="O550" s="11">
        <v>1585</v>
      </c>
      <c r="P550" s="85">
        <v>1.4568014705882353</v>
      </c>
      <c r="Q550" s="11">
        <v>1585</v>
      </c>
      <c r="R550" s="85">
        <v>1.4568014705882353</v>
      </c>
      <c r="S550" s="29" t="s">
        <v>2011</v>
      </c>
      <c r="T550" s="29" t="s">
        <v>2038</v>
      </c>
    </row>
    <row r="551">
      <c r="B551" s="29" t="s">
        <v>1219</v>
      </c>
      <c r="C551" s="29" t="s">
        <v>1245</v>
      </c>
      <c r="D551" s="8" t="s">
        <v>1271</v>
      </c>
      <c r="E551" s="10" t="s">
        <v>1867</v>
      </c>
      <c r="F551" s="10"/>
      <c r="G551" s="10">
        <v>3</v>
      </c>
      <c r="H551" s="10">
        <v>1</v>
      </c>
      <c r="I551" s="10"/>
      <c r="J551" s="10">
        <v>1088</v>
      </c>
      <c r="K551" s="104">
        <v>45561</v>
      </c>
      <c r="L551" s="104">
        <v>45632</v>
      </c>
      <c r="M551" s="10" t="b">
        <v>0</v>
      </c>
      <c r="N551" s="10">
        <v>72</v>
      </c>
      <c r="O551" s="11">
        <v>1585</v>
      </c>
      <c r="P551" s="85">
        <v>1.4568014705882353</v>
      </c>
      <c r="Q551" s="11">
        <v>1585</v>
      </c>
      <c r="R551" s="85">
        <v>1.4568014705882353</v>
      </c>
      <c r="S551" s="29" t="s">
        <v>2011</v>
      </c>
      <c r="T551" s="29" t="s">
        <v>2038</v>
      </c>
    </row>
    <row r="552">
      <c r="B552" s="29" t="s">
        <v>1219</v>
      </c>
      <c r="C552" s="29" t="s">
        <v>1245</v>
      </c>
      <c r="D552" s="8" t="s">
        <v>1271</v>
      </c>
      <c r="E552" s="10" t="s">
        <v>1868</v>
      </c>
      <c r="F552" s="10">
        <v>2</v>
      </c>
      <c r="G552" s="10">
        <v>3</v>
      </c>
      <c r="H552" s="10">
        <v>1</v>
      </c>
      <c r="I552" s="10"/>
      <c r="J552" s="10">
        <v>1088</v>
      </c>
      <c r="K552" s="104">
        <v>45698</v>
      </c>
      <c r="L552" s="104"/>
      <c r="M552" s="10" t="b">
        <v>1</v>
      </c>
      <c r="N552" s="10"/>
      <c r="O552" s="11">
        <v>1590</v>
      </c>
      <c r="P552" s="85">
        <v>1.4613970588235294</v>
      </c>
      <c r="Q552" s="11">
        <v>1548</v>
      </c>
      <c r="R552" s="85">
        <v>1.4227941176470589</v>
      </c>
      <c r="S552" s="29" t="s">
        <v>2019</v>
      </c>
      <c r="T552" s="29" t="s">
        <v>2040</v>
      </c>
    </row>
    <row r="553">
      <c r="B553" s="29" t="s">
        <v>1219</v>
      </c>
      <c r="C553" s="29" t="s">
        <v>1245</v>
      </c>
      <c r="D553" s="8" t="s">
        <v>1271</v>
      </c>
      <c r="E553" s="10" t="s">
        <v>1869</v>
      </c>
      <c r="F553" s="10"/>
      <c r="G553" s="10">
        <v>3</v>
      </c>
      <c r="H553" s="10">
        <v>1</v>
      </c>
      <c r="I553" s="10"/>
      <c r="J553" s="10">
        <v>1088</v>
      </c>
      <c r="K553" s="104">
        <v>45729</v>
      </c>
      <c r="L553" s="104"/>
      <c r="M553" s="10" t="b">
        <v>1</v>
      </c>
      <c r="N553" s="10"/>
      <c r="O553" s="11">
        <v>1590</v>
      </c>
      <c r="P553" s="85">
        <v>1.4613970588235294</v>
      </c>
      <c r="Q553" s="11">
        <v>1590</v>
      </c>
      <c r="R553" s="85">
        <v>1.4613970588235294</v>
      </c>
      <c r="S553" s="29" t="s">
        <v>2013</v>
      </c>
      <c r="T553" s="29" t="s">
        <v>2040</v>
      </c>
    </row>
    <row r="554">
      <c r="B554" s="29" t="s">
        <v>1219</v>
      </c>
      <c r="C554" s="29" t="s">
        <v>1245</v>
      </c>
      <c r="D554" s="8" t="s">
        <v>1271</v>
      </c>
      <c r="E554" s="10" t="s">
        <v>1870</v>
      </c>
      <c r="F554" s="10"/>
      <c r="G554" s="10">
        <v>3</v>
      </c>
      <c r="H554" s="10">
        <v>1</v>
      </c>
      <c r="I554" s="10"/>
      <c r="J554" s="10">
        <v>1088</v>
      </c>
      <c r="K554" s="104">
        <v>45486</v>
      </c>
      <c r="L554" s="104">
        <v>45619</v>
      </c>
      <c r="M554" s="10" t="b">
        <v>0</v>
      </c>
      <c r="N554" s="10">
        <v>134</v>
      </c>
      <c r="O554" s="11">
        <v>1595</v>
      </c>
      <c r="P554" s="85">
        <v>1.4659926470588236</v>
      </c>
      <c r="Q554" s="11">
        <v>1595</v>
      </c>
      <c r="R554" s="85">
        <v>1.4659926470588236</v>
      </c>
      <c r="S554" s="29" t="s">
        <v>2011</v>
      </c>
      <c r="T554" s="29" t="s">
        <v>2038</v>
      </c>
    </row>
    <row r="555">
      <c r="B555" s="29" t="s">
        <v>1219</v>
      </c>
      <c r="C555" s="29" t="s">
        <v>1245</v>
      </c>
      <c r="D555" s="8" t="s">
        <v>1271</v>
      </c>
      <c r="E555" s="10" t="s">
        <v>1871</v>
      </c>
      <c r="F555" s="10">
        <v>2</v>
      </c>
      <c r="G555" s="10">
        <v>3</v>
      </c>
      <c r="H555" s="10">
        <v>1</v>
      </c>
      <c r="I555" s="10"/>
      <c r="J555" s="10">
        <v>1088</v>
      </c>
      <c r="K555" s="104">
        <v>45511</v>
      </c>
      <c r="L555" s="104">
        <v>45608</v>
      </c>
      <c r="M555" s="10" t="b">
        <v>0</v>
      </c>
      <c r="N555" s="10">
        <v>98</v>
      </c>
      <c r="O555" s="11">
        <v>1595</v>
      </c>
      <c r="P555" s="85">
        <v>1.4659926470588236</v>
      </c>
      <c r="Q555" s="11">
        <v>1545</v>
      </c>
      <c r="R555" s="85">
        <v>1.4200367647058822</v>
      </c>
      <c r="S555" s="29" t="s">
        <v>2011</v>
      </c>
      <c r="T555" s="29" t="s">
        <v>2038</v>
      </c>
    </row>
    <row r="556">
      <c r="B556" s="29" t="s">
        <v>1219</v>
      </c>
      <c r="C556" s="29" t="s">
        <v>1245</v>
      </c>
      <c r="D556" s="8" t="s">
        <v>1271</v>
      </c>
      <c r="E556" s="10" t="s">
        <v>1872</v>
      </c>
      <c r="F556" s="10"/>
      <c r="G556" s="10">
        <v>3</v>
      </c>
      <c r="H556" s="10">
        <v>1</v>
      </c>
      <c r="I556" s="10"/>
      <c r="J556" s="10">
        <v>1088</v>
      </c>
      <c r="K556" s="104">
        <v>45693</v>
      </c>
      <c r="L556" s="104"/>
      <c r="M556" s="10" t="b">
        <v>1</v>
      </c>
      <c r="N556" s="10"/>
      <c r="O556" s="11">
        <v>1600</v>
      </c>
      <c r="P556" s="85">
        <v>1.4705882352941178</v>
      </c>
      <c r="Q556" s="11">
        <v>1558</v>
      </c>
      <c r="R556" s="85">
        <v>1.431985294117647</v>
      </c>
      <c r="S556" s="29" t="s">
        <v>2022</v>
      </c>
      <c r="T556" s="29" t="s">
        <v>2040</v>
      </c>
    </row>
    <row r="557">
      <c r="B557" s="29" t="s">
        <v>1219</v>
      </c>
      <c r="C557" s="29" t="s">
        <v>1245</v>
      </c>
      <c r="D557" s="8" t="s">
        <v>1271</v>
      </c>
      <c r="E557" s="10" t="s">
        <v>1873</v>
      </c>
      <c r="F557" s="10">
        <v>1</v>
      </c>
      <c r="G557" s="10">
        <v>3</v>
      </c>
      <c r="H557" s="10">
        <v>1</v>
      </c>
      <c r="I557" s="10"/>
      <c r="J557" s="10">
        <v>1088</v>
      </c>
      <c r="K557" s="104">
        <v>45646</v>
      </c>
      <c r="L557" s="104"/>
      <c r="M557" s="10" t="b">
        <v>1</v>
      </c>
      <c r="N557" s="10"/>
      <c r="O557" s="11">
        <v>1600</v>
      </c>
      <c r="P557" s="85">
        <v>1.4705882352941178</v>
      </c>
      <c r="Q557" s="11">
        <v>1558</v>
      </c>
      <c r="R557" s="85">
        <v>1.431985294117647</v>
      </c>
      <c r="S557" s="29" t="s">
        <v>2022</v>
      </c>
      <c r="T557" s="29" t="s">
        <v>2040</v>
      </c>
    </row>
    <row r="558">
      <c r="B558" s="29" t="s">
        <v>1219</v>
      </c>
      <c r="C558" s="29" t="s">
        <v>1245</v>
      </c>
      <c r="D558" s="8" t="s">
        <v>1271</v>
      </c>
      <c r="E558" s="10" t="s">
        <v>1874</v>
      </c>
      <c r="F558" s="10"/>
      <c r="G558" s="10">
        <v>3</v>
      </c>
      <c r="H558" s="10">
        <v>1</v>
      </c>
      <c r="I558" s="10"/>
      <c r="J558" s="10">
        <v>1088</v>
      </c>
      <c r="K558" s="104">
        <v>45573</v>
      </c>
      <c r="L558" s="104">
        <v>45722</v>
      </c>
      <c r="M558" s="10" t="b">
        <v>0</v>
      </c>
      <c r="N558" s="10">
        <v>150</v>
      </c>
      <c r="O558" s="11">
        <v>1605</v>
      </c>
      <c r="P558" s="85">
        <v>1.4751838235294117</v>
      </c>
      <c r="Q558" s="11">
        <v>1605</v>
      </c>
      <c r="R558" s="85">
        <v>1.4751838235294117</v>
      </c>
      <c r="S558" s="29" t="s">
        <v>2011</v>
      </c>
      <c r="T558" s="29" t="s">
        <v>2038</v>
      </c>
    </row>
    <row r="559">
      <c r="B559" s="29" t="s">
        <v>1219</v>
      </c>
      <c r="C559" s="29" t="s">
        <v>1245</v>
      </c>
      <c r="D559" s="8" t="s">
        <v>1271</v>
      </c>
      <c r="E559" s="10" t="s">
        <v>1875</v>
      </c>
      <c r="F559" s="10"/>
      <c r="G559" s="10">
        <v>3</v>
      </c>
      <c r="H559" s="10">
        <v>1</v>
      </c>
      <c r="I559" s="10"/>
      <c r="J559" s="10">
        <v>1088</v>
      </c>
      <c r="K559" s="104">
        <v>45587</v>
      </c>
      <c r="L559" s="104">
        <v>45648</v>
      </c>
      <c r="M559" s="10" t="b">
        <v>0</v>
      </c>
      <c r="N559" s="10">
        <v>62</v>
      </c>
      <c r="O559" s="11">
        <v>1605</v>
      </c>
      <c r="P559" s="85">
        <v>1.4751838235294117</v>
      </c>
      <c r="Q559" s="11">
        <v>1605</v>
      </c>
      <c r="R559" s="85">
        <v>1.4751838235294117</v>
      </c>
      <c r="S559" s="29" t="s">
        <v>2011</v>
      </c>
      <c r="T559" s="29" t="s">
        <v>2038</v>
      </c>
    </row>
    <row r="560">
      <c r="B560" s="29" t="s">
        <v>1219</v>
      </c>
      <c r="C560" s="29" t="s">
        <v>1245</v>
      </c>
      <c r="D560" s="8" t="s">
        <v>1271</v>
      </c>
      <c r="E560" s="10" t="s">
        <v>1876</v>
      </c>
      <c r="F560" s="10"/>
      <c r="G560" s="10">
        <v>3</v>
      </c>
      <c r="H560" s="10">
        <v>1</v>
      </c>
      <c r="I560" s="10"/>
      <c r="J560" s="10">
        <v>1088</v>
      </c>
      <c r="K560" s="104">
        <v>45547</v>
      </c>
      <c r="L560" s="104">
        <v>45615</v>
      </c>
      <c r="M560" s="10" t="b">
        <v>0</v>
      </c>
      <c r="N560" s="10">
        <v>69</v>
      </c>
      <c r="O560" s="11">
        <v>1610</v>
      </c>
      <c r="P560" s="85">
        <v>1.4797794117647058</v>
      </c>
      <c r="Q560" s="11">
        <v>1565</v>
      </c>
      <c r="R560" s="85">
        <v>1.4384191176470589</v>
      </c>
      <c r="S560" s="29" t="s">
        <v>2011</v>
      </c>
      <c r="T560" s="29" t="s">
        <v>2038</v>
      </c>
    </row>
    <row r="561">
      <c r="B561" s="29" t="s">
        <v>1219</v>
      </c>
      <c r="C561" s="29" t="s">
        <v>1245</v>
      </c>
      <c r="D561" s="8" t="s">
        <v>1271</v>
      </c>
      <c r="E561" s="10" t="s">
        <v>1877</v>
      </c>
      <c r="F561" s="10"/>
      <c r="G561" s="10">
        <v>3</v>
      </c>
      <c r="H561" s="10">
        <v>1</v>
      </c>
      <c r="I561" s="10"/>
      <c r="J561" s="10">
        <v>1088</v>
      </c>
      <c r="K561" s="104">
        <v>45665</v>
      </c>
      <c r="L561" s="104">
        <v>45690</v>
      </c>
      <c r="M561" s="10" t="b">
        <v>0</v>
      </c>
      <c r="N561" s="10">
        <v>26</v>
      </c>
      <c r="O561" s="11">
        <v>1615</v>
      </c>
      <c r="P561" s="85">
        <v>1.484375</v>
      </c>
      <c r="Q561" s="11">
        <v>1615</v>
      </c>
      <c r="R561" s="85">
        <v>1.484375</v>
      </c>
      <c r="S561" s="29" t="s">
        <v>2011</v>
      </c>
      <c r="T561" s="29" t="s">
        <v>2038</v>
      </c>
    </row>
    <row r="562">
      <c r="B562" s="29" t="s">
        <v>1219</v>
      </c>
      <c r="C562" s="29" t="s">
        <v>1245</v>
      </c>
      <c r="D562" s="8" t="s">
        <v>1271</v>
      </c>
      <c r="E562" s="10" t="s">
        <v>1878</v>
      </c>
      <c r="F562" s="10">
        <v>2</v>
      </c>
      <c r="G562" s="10">
        <v>3</v>
      </c>
      <c r="H562" s="10">
        <v>1</v>
      </c>
      <c r="I562" s="10"/>
      <c r="J562" s="10">
        <v>1088</v>
      </c>
      <c r="K562" s="104">
        <v>45672</v>
      </c>
      <c r="L562" s="104">
        <v>45701</v>
      </c>
      <c r="M562" s="10" t="b">
        <v>0</v>
      </c>
      <c r="N562" s="10">
        <v>30</v>
      </c>
      <c r="O562" s="11">
        <v>1620</v>
      </c>
      <c r="P562" s="85">
        <v>1.4889705882352942</v>
      </c>
      <c r="Q562" s="11">
        <v>1620</v>
      </c>
      <c r="R562" s="85">
        <v>1.4889705882352942</v>
      </c>
      <c r="S562" s="29" t="s">
        <v>2011</v>
      </c>
      <c r="T562" s="29" t="s">
        <v>2038</v>
      </c>
    </row>
    <row r="563">
      <c r="B563" s="29" t="s">
        <v>1219</v>
      </c>
      <c r="C563" s="29" t="s">
        <v>1245</v>
      </c>
      <c r="D563" s="8" t="s">
        <v>1271</v>
      </c>
      <c r="E563" s="10" t="s">
        <v>1879</v>
      </c>
      <c r="F563" s="10">
        <v>2</v>
      </c>
      <c r="G563" s="10">
        <v>3</v>
      </c>
      <c r="H563" s="10">
        <v>1</v>
      </c>
      <c r="I563" s="10"/>
      <c r="J563" s="10">
        <v>1088</v>
      </c>
      <c r="K563" s="104">
        <v>45575</v>
      </c>
      <c r="L563" s="104">
        <v>45688</v>
      </c>
      <c r="M563" s="10" t="b">
        <v>0</v>
      </c>
      <c r="N563" s="10">
        <v>114</v>
      </c>
      <c r="O563" s="11">
        <v>1620</v>
      </c>
      <c r="P563" s="85">
        <v>1.4889705882352942</v>
      </c>
      <c r="Q563" s="11">
        <v>1620</v>
      </c>
      <c r="R563" s="85">
        <v>1.4889705882352942</v>
      </c>
      <c r="S563" s="29" t="s">
        <v>2011</v>
      </c>
      <c r="T563" s="29" t="s">
        <v>2038</v>
      </c>
    </row>
    <row r="564">
      <c r="B564" s="29" t="s">
        <v>1219</v>
      </c>
      <c r="C564" s="29" t="s">
        <v>1245</v>
      </c>
      <c r="D564" s="8" t="s">
        <v>1271</v>
      </c>
      <c r="E564" s="10" t="s">
        <v>1880</v>
      </c>
      <c r="F564" s="10"/>
      <c r="G564" s="10">
        <v>3</v>
      </c>
      <c r="H564" s="10">
        <v>1</v>
      </c>
      <c r="I564" s="10"/>
      <c r="J564" s="10">
        <v>1088</v>
      </c>
      <c r="K564" s="104">
        <v>45729</v>
      </c>
      <c r="L564" s="104">
        <v>45745</v>
      </c>
      <c r="M564" s="10" t="b">
        <v>0</v>
      </c>
      <c r="N564" s="10">
        <v>17</v>
      </c>
      <c r="O564" s="11">
        <v>1625</v>
      </c>
      <c r="P564" s="85">
        <v>1.4935661764705883</v>
      </c>
      <c r="Q564" s="11">
        <v>1625</v>
      </c>
      <c r="R564" s="85">
        <v>1.4935661764705883</v>
      </c>
      <c r="S564" s="29" t="s">
        <v>2011</v>
      </c>
      <c r="T564" s="29" t="s">
        <v>2038</v>
      </c>
    </row>
    <row r="565">
      <c r="B565" s="29" t="s">
        <v>1219</v>
      </c>
      <c r="C565" s="29" t="s">
        <v>1245</v>
      </c>
      <c r="D565" s="8" t="s">
        <v>1271</v>
      </c>
      <c r="E565" s="10" t="s">
        <v>1881</v>
      </c>
      <c r="F565" s="10"/>
      <c r="G565" s="10">
        <v>3</v>
      </c>
      <c r="H565" s="10">
        <v>1</v>
      </c>
      <c r="I565" s="10"/>
      <c r="J565" s="10">
        <v>1088</v>
      </c>
      <c r="K565" s="104">
        <v>45328</v>
      </c>
      <c r="L565" s="104">
        <v>45428</v>
      </c>
      <c r="M565" s="10" t="b">
        <v>0</v>
      </c>
      <c r="N565" s="10">
        <v>101</v>
      </c>
      <c r="O565" s="11">
        <v>1655</v>
      </c>
      <c r="P565" s="85">
        <v>1.521139705882353</v>
      </c>
      <c r="Q565" s="11">
        <v>1610</v>
      </c>
      <c r="R565" s="85">
        <v>1.4797794117647058</v>
      </c>
      <c r="S565" s="29" t="s">
        <v>2014</v>
      </c>
      <c r="T565" s="29" t="s">
        <v>2038</v>
      </c>
    </row>
    <row r="566">
      <c r="B566" s="29" t="s">
        <v>1219</v>
      </c>
      <c r="C566" s="29" t="s">
        <v>1245</v>
      </c>
      <c r="D566" s="8" t="s">
        <v>1271</v>
      </c>
      <c r="E566" s="10" t="s">
        <v>1882</v>
      </c>
      <c r="F566" s="10">
        <v>2</v>
      </c>
      <c r="G566" s="10">
        <v>3</v>
      </c>
      <c r="H566" s="10">
        <v>1</v>
      </c>
      <c r="I566" s="10"/>
      <c r="J566" s="10">
        <v>1088</v>
      </c>
      <c r="K566" s="104">
        <v>45636</v>
      </c>
      <c r="L566" s="104">
        <v>45735</v>
      </c>
      <c r="M566" s="10" t="b">
        <v>0</v>
      </c>
      <c r="N566" s="10">
        <v>100</v>
      </c>
      <c r="O566" s="11">
        <v>1660</v>
      </c>
      <c r="P566" s="85">
        <v>1.525735294117647</v>
      </c>
      <c r="Q566" s="11">
        <v>1660</v>
      </c>
      <c r="R566" s="85">
        <v>1.525735294117647</v>
      </c>
      <c r="S566" s="29" t="s">
        <v>2011</v>
      </c>
      <c r="T566" s="29" t="s">
        <v>2038</v>
      </c>
    </row>
    <row r="567">
      <c r="B567" s="29" t="s">
        <v>1219</v>
      </c>
      <c r="C567" s="29" t="s">
        <v>1245</v>
      </c>
      <c r="D567" s="8" t="s">
        <v>1271</v>
      </c>
      <c r="E567" s="10" t="s">
        <v>1883</v>
      </c>
      <c r="F567" s="10"/>
      <c r="G567" s="10">
        <v>3</v>
      </c>
      <c r="H567" s="10">
        <v>1</v>
      </c>
      <c r="I567" s="10"/>
      <c r="J567" s="10">
        <v>1088</v>
      </c>
      <c r="K567" s="104">
        <v>45426</v>
      </c>
      <c r="L567" s="104">
        <v>45432</v>
      </c>
      <c r="M567" s="10" t="b">
        <v>0</v>
      </c>
      <c r="N567" s="10">
        <v>7</v>
      </c>
      <c r="O567" s="11">
        <v>1665</v>
      </c>
      <c r="P567" s="85">
        <v>1.5303308823529411</v>
      </c>
      <c r="Q567" s="11">
        <v>1665</v>
      </c>
      <c r="R567" s="85">
        <v>1.5303308823529411</v>
      </c>
      <c r="S567" s="29" t="s">
        <v>2014</v>
      </c>
      <c r="T567" s="29" t="s">
        <v>2038</v>
      </c>
    </row>
    <row r="568">
      <c r="B568" s="29" t="s">
        <v>1219</v>
      </c>
      <c r="C568" s="29" t="s">
        <v>1245</v>
      </c>
      <c r="D568" s="8" t="s">
        <v>1271</v>
      </c>
      <c r="E568" s="10" t="s">
        <v>1884</v>
      </c>
      <c r="F568" s="10"/>
      <c r="G568" s="10">
        <v>3</v>
      </c>
      <c r="H568" s="10">
        <v>1</v>
      </c>
      <c r="I568" s="10"/>
      <c r="J568" s="10">
        <v>1088</v>
      </c>
      <c r="K568" s="104">
        <v>45454</v>
      </c>
      <c r="L568" s="104">
        <v>45471</v>
      </c>
      <c r="M568" s="10" t="b">
        <v>0</v>
      </c>
      <c r="N568" s="10">
        <v>18</v>
      </c>
      <c r="O568" s="11">
        <v>1670</v>
      </c>
      <c r="P568" s="85">
        <v>1.5349264705882353</v>
      </c>
      <c r="Q568" s="11">
        <v>1670</v>
      </c>
      <c r="R568" s="85">
        <v>1.5349264705882353</v>
      </c>
      <c r="S568" s="29" t="s">
        <v>2011</v>
      </c>
      <c r="T568" s="29" t="s">
        <v>2038</v>
      </c>
    </row>
    <row r="569">
      <c r="B569" s="29" t="s">
        <v>1219</v>
      </c>
      <c r="C569" s="29" t="s">
        <v>1245</v>
      </c>
      <c r="D569" s="8" t="s">
        <v>1271</v>
      </c>
      <c r="E569" s="10" t="s">
        <v>1885</v>
      </c>
      <c r="F569" s="10">
        <v>1</v>
      </c>
      <c r="G569" s="10">
        <v>3</v>
      </c>
      <c r="H569" s="10">
        <v>1</v>
      </c>
      <c r="I569" s="10"/>
      <c r="J569" s="10">
        <v>1088</v>
      </c>
      <c r="K569" s="104">
        <v>45422</v>
      </c>
      <c r="L569" s="104">
        <v>45485</v>
      </c>
      <c r="M569" s="10" t="b">
        <v>0</v>
      </c>
      <c r="N569" s="10">
        <v>64</v>
      </c>
      <c r="O569" s="11">
        <v>1675</v>
      </c>
      <c r="P569" s="85">
        <v>1.5395220588235294</v>
      </c>
      <c r="Q569" s="11">
        <v>1675</v>
      </c>
      <c r="R569" s="85">
        <v>1.5395220588235294</v>
      </c>
      <c r="S569" s="29" t="s">
        <v>2011</v>
      </c>
      <c r="T569" s="29" t="s">
        <v>2038</v>
      </c>
    </row>
    <row r="570">
      <c r="B570" s="29" t="s">
        <v>1219</v>
      </c>
      <c r="C570" s="29" t="s">
        <v>1245</v>
      </c>
      <c r="D570" s="8" t="s">
        <v>1271</v>
      </c>
      <c r="E570" s="10" t="s">
        <v>1886</v>
      </c>
      <c r="F570" s="10"/>
      <c r="G570" s="10">
        <v>3</v>
      </c>
      <c r="H570" s="10">
        <v>1</v>
      </c>
      <c r="I570" s="10"/>
      <c r="J570" s="10">
        <v>1088</v>
      </c>
      <c r="K570" s="104">
        <v>45668</v>
      </c>
      <c r="L570" s="104">
        <v>45734</v>
      </c>
      <c r="M570" s="10" t="b">
        <v>0</v>
      </c>
      <c r="N570" s="10">
        <v>67</v>
      </c>
      <c r="O570" s="11">
        <v>1685</v>
      </c>
      <c r="P570" s="85">
        <v>1.5487132352941178</v>
      </c>
      <c r="Q570" s="11">
        <v>1685</v>
      </c>
      <c r="R570" s="85">
        <v>1.5487132352941178</v>
      </c>
      <c r="S570" s="29" t="s">
        <v>2012</v>
      </c>
      <c r="T570" s="29" t="s">
        <v>2038</v>
      </c>
    </row>
    <row r="571">
      <c r="B571" s="29" t="s">
        <v>1219</v>
      </c>
      <c r="C571" s="29" t="s">
        <v>1245</v>
      </c>
      <c r="D571" s="8" t="s">
        <v>1271</v>
      </c>
      <c r="E571" s="10" t="s">
        <v>1887</v>
      </c>
      <c r="F571" s="10">
        <v>1</v>
      </c>
      <c r="G571" s="10">
        <v>3</v>
      </c>
      <c r="H571" s="10">
        <v>1</v>
      </c>
      <c r="I571" s="10"/>
      <c r="J571" s="10">
        <v>1088</v>
      </c>
      <c r="K571" s="104">
        <v>45752</v>
      </c>
      <c r="L571" s="104"/>
      <c r="M571" s="10" t="b">
        <v>1</v>
      </c>
      <c r="N571" s="10"/>
      <c r="O571" s="11">
        <v>1690</v>
      </c>
      <c r="P571" s="85">
        <v>1.5533088235294117</v>
      </c>
      <c r="Q571" s="11">
        <v>1690</v>
      </c>
      <c r="R571" s="85">
        <v>1.5533088235294117</v>
      </c>
      <c r="S571" s="29" t="s">
        <v>2029</v>
      </c>
      <c r="T571" s="29" t="s">
        <v>2040</v>
      </c>
    </row>
    <row r="572">
      <c r="B572" s="29" t="s">
        <v>1219</v>
      </c>
      <c r="C572" s="29" t="s">
        <v>1245</v>
      </c>
      <c r="D572" s="8" t="s">
        <v>1271</v>
      </c>
      <c r="E572" s="10" t="s">
        <v>1888</v>
      </c>
      <c r="F572" s="10"/>
      <c r="G572" s="10">
        <v>3</v>
      </c>
      <c r="H572" s="10">
        <v>1</v>
      </c>
      <c r="I572" s="10"/>
      <c r="J572" s="10">
        <v>1088</v>
      </c>
      <c r="K572" s="104">
        <v>45460</v>
      </c>
      <c r="L572" s="104">
        <v>45476</v>
      </c>
      <c r="M572" s="10" t="b">
        <v>0</v>
      </c>
      <c r="N572" s="10">
        <v>17</v>
      </c>
      <c r="O572" s="11">
        <v>1700</v>
      </c>
      <c r="P572" s="85">
        <v>1.5625</v>
      </c>
      <c r="Q572" s="11">
        <v>1700</v>
      </c>
      <c r="R572" s="85">
        <v>1.5625</v>
      </c>
      <c r="S572" s="29" t="s">
        <v>2011</v>
      </c>
      <c r="T572" s="29" t="s">
        <v>2038</v>
      </c>
    </row>
    <row r="573">
      <c r="B573" s="29" t="s">
        <v>1219</v>
      </c>
      <c r="C573" s="29" t="s">
        <v>1245</v>
      </c>
      <c r="D573" s="8" t="s">
        <v>1271</v>
      </c>
      <c r="E573" s="10" t="s">
        <v>1889</v>
      </c>
      <c r="F573" s="10"/>
      <c r="G573" s="10">
        <v>3</v>
      </c>
      <c r="H573" s="10">
        <v>1</v>
      </c>
      <c r="I573" s="10"/>
      <c r="J573" s="10">
        <v>1088</v>
      </c>
      <c r="K573" s="104">
        <v>45405</v>
      </c>
      <c r="L573" s="104">
        <v>45541</v>
      </c>
      <c r="M573" s="10" t="b">
        <v>0</v>
      </c>
      <c r="N573" s="10">
        <v>137</v>
      </c>
      <c r="O573" s="11">
        <v>1710</v>
      </c>
      <c r="P573" s="85">
        <v>1.5716911764705883</v>
      </c>
      <c r="Q573" s="11">
        <v>1710</v>
      </c>
      <c r="R573" s="85">
        <v>1.5716911764705883</v>
      </c>
      <c r="S573" s="29" t="s">
        <v>2014</v>
      </c>
      <c r="T573" s="29" t="s">
        <v>2038</v>
      </c>
    </row>
    <row r="574">
      <c r="B574" s="29" t="s">
        <v>1219</v>
      </c>
      <c r="C574" s="29" t="s">
        <v>1245</v>
      </c>
      <c r="D574" s="8" t="s">
        <v>1271</v>
      </c>
      <c r="E574" s="10" t="s">
        <v>1890</v>
      </c>
      <c r="F574" s="10"/>
      <c r="G574" s="10">
        <v>3</v>
      </c>
      <c r="H574" s="10">
        <v>1</v>
      </c>
      <c r="I574" s="10"/>
      <c r="J574" s="10">
        <v>1088</v>
      </c>
      <c r="K574" s="104">
        <v>45482</v>
      </c>
      <c r="L574" s="104">
        <v>45500</v>
      </c>
      <c r="M574" s="10" t="b">
        <v>0</v>
      </c>
      <c r="N574" s="10">
        <v>19</v>
      </c>
      <c r="O574" s="11">
        <v>1720</v>
      </c>
      <c r="P574" s="85">
        <v>1.5808823529411764</v>
      </c>
      <c r="Q574" s="11">
        <v>1720</v>
      </c>
      <c r="R574" s="85">
        <v>1.5808823529411764</v>
      </c>
      <c r="S574" s="29" t="s">
        <v>2011</v>
      </c>
      <c r="T574" s="29" t="s">
        <v>2038</v>
      </c>
    </row>
    <row r="575">
      <c r="B575" s="29" t="s">
        <v>1219</v>
      </c>
      <c r="C575" s="29" t="s">
        <v>1245</v>
      </c>
      <c r="D575" s="8" t="s">
        <v>1271</v>
      </c>
      <c r="E575" s="10" t="s">
        <v>1891</v>
      </c>
      <c r="F575" s="10">
        <v>2</v>
      </c>
      <c r="G575" s="10">
        <v>3</v>
      </c>
      <c r="H575" s="10">
        <v>1</v>
      </c>
      <c r="I575" s="10"/>
      <c r="J575" s="10">
        <v>1088</v>
      </c>
      <c r="K575" s="104">
        <v>45371</v>
      </c>
      <c r="L575" s="104">
        <v>45450</v>
      </c>
      <c r="M575" s="10" t="b">
        <v>0</v>
      </c>
      <c r="N575" s="10">
        <v>80</v>
      </c>
      <c r="O575" s="11">
        <v>1730</v>
      </c>
      <c r="P575" s="85">
        <v>1.5900735294117647</v>
      </c>
      <c r="Q575" s="11">
        <v>1730</v>
      </c>
      <c r="R575" s="85">
        <v>1.5900735294117647</v>
      </c>
      <c r="S575" s="29" t="s">
        <v>2014</v>
      </c>
      <c r="T575" s="29" t="s">
        <v>2038</v>
      </c>
    </row>
    <row r="576">
      <c r="B576" s="29" t="s">
        <v>1219</v>
      </c>
      <c r="C576" s="29" t="s">
        <v>1245</v>
      </c>
      <c r="D576" s="8" t="s">
        <v>1272</v>
      </c>
      <c r="E576" s="10" t="s">
        <v>1892</v>
      </c>
      <c r="F576" s="10">
        <v>1</v>
      </c>
      <c r="G576" s="10">
        <v>3</v>
      </c>
      <c r="H576" s="10">
        <v>1</v>
      </c>
      <c r="I576" s="10"/>
      <c r="J576" s="10">
        <v>1088</v>
      </c>
      <c r="K576" s="104"/>
      <c r="L576" s="104">
        <v>45161</v>
      </c>
      <c r="M576" s="10" t="b">
        <v>0</v>
      </c>
      <c r="N576" s="10"/>
      <c r="O576" s="11">
        <v>1490</v>
      </c>
      <c r="P576" s="85">
        <v>1.369485294117647</v>
      </c>
      <c r="Q576" s="11">
        <v>1448</v>
      </c>
      <c r="R576" s="85">
        <v>1.3308823529411764</v>
      </c>
      <c r="S576" s="29" t="s">
        <v>1998</v>
      </c>
      <c r="T576" s="29" t="s">
        <v>2039</v>
      </c>
    </row>
    <row r="577">
      <c r="B577" s="29" t="s">
        <v>1219</v>
      </c>
      <c r="C577" s="29" t="s">
        <v>1245</v>
      </c>
      <c r="D577" s="8" t="s">
        <v>1270</v>
      </c>
      <c r="E577" s="10" t="s">
        <v>1893</v>
      </c>
      <c r="F577" s="10">
        <v>1</v>
      </c>
      <c r="G577" s="10">
        <v>3</v>
      </c>
      <c r="H577" s="10">
        <v>1</v>
      </c>
      <c r="I577" s="10"/>
      <c r="J577" s="10">
        <v>1088</v>
      </c>
      <c r="K577" s="104">
        <v>45209</v>
      </c>
      <c r="L577" s="104">
        <v>45296</v>
      </c>
      <c r="M577" s="10" t="b">
        <v>0</v>
      </c>
      <c r="N577" s="10">
        <v>88</v>
      </c>
      <c r="O577" s="11">
        <v>1540</v>
      </c>
      <c r="P577" s="85">
        <v>1.4154411764705883</v>
      </c>
      <c r="Q577" s="11">
        <v>1540</v>
      </c>
      <c r="R577" s="85">
        <v>1.4154411764705883</v>
      </c>
      <c r="S577" s="29" t="s">
        <v>1998</v>
      </c>
      <c r="T577" s="29" t="s">
        <v>2039</v>
      </c>
    </row>
    <row r="578">
      <c r="B578" s="29" t="s">
        <v>1219</v>
      </c>
      <c r="C578" s="29" t="s">
        <v>1245</v>
      </c>
      <c r="D578" s="8" t="s">
        <v>1272</v>
      </c>
      <c r="E578" s="10" t="s">
        <v>1894</v>
      </c>
      <c r="F578" s="10"/>
      <c r="G578" s="10">
        <v>3</v>
      </c>
      <c r="H578" s="10">
        <v>1</v>
      </c>
      <c r="I578" s="10"/>
      <c r="J578" s="10">
        <v>1088</v>
      </c>
      <c r="K578" s="104"/>
      <c r="L578" s="104">
        <v>45141</v>
      </c>
      <c r="M578" s="10" t="b">
        <v>0</v>
      </c>
      <c r="N578" s="10"/>
      <c r="O578" s="11">
        <v>1570</v>
      </c>
      <c r="P578" s="85">
        <v>1.443014705882353</v>
      </c>
      <c r="Q578" s="11">
        <v>1528</v>
      </c>
      <c r="R578" s="85">
        <v>1.4044117647058822</v>
      </c>
      <c r="S578" s="29" t="s">
        <v>1998</v>
      </c>
      <c r="T578" s="29" t="s">
        <v>2039</v>
      </c>
    </row>
    <row r="579">
      <c r="B579" s="29" t="s">
        <v>1219</v>
      </c>
      <c r="C579" s="29" t="s">
        <v>1245</v>
      </c>
      <c r="D579" s="8" t="s">
        <v>1272</v>
      </c>
      <c r="E579" s="10" t="s">
        <v>1895</v>
      </c>
      <c r="F579" s="10"/>
      <c r="G579" s="10">
        <v>3</v>
      </c>
      <c r="H579" s="10">
        <v>1</v>
      </c>
      <c r="I579" s="10"/>
      <c r="J579" s="10">
        <v>1088</v>
      </c>
      <c r="K579" s="104"/>
      <c r="L579" s="104">
        <v>45139</v>
      </c>
      <c r="M579" s="10" t="b">
        <v>0</v>
      </c>
      <c r="N579" s="10"/>
      <c r="O579" s="11">
        <v>1570</v>
      </c>
      <c r="P579" s="85">
        <v>1.443014705882353</v>
      </c>
      <c r="Q579" s="11">
        <v>1570</v>
      </c>
      <c r="R579" s="85">
        <v>1.443014705882353</v>
      </c>
      <c r="S579" s="29" t="s">
        <v>1998</v>
      </c>
      <c r="T579" s="29" t="s">
        <v>2039</v>
      </c>
    </row>
    <row r="580">
      <c r="B580" s="29" t="s">
        <v>1219</v>
      </c>
      <c r="C580" s="29" t="s">
        <v>1245</v>
      </c>
      <c r="D580" s="8" t="s">
        <v>1270</v>
      </c>
      <c r="E580" s="10" t="s">
        <v>1896</v>
      </c>
      <c r="F580" s="10"/>
      <c r="G580" s="10">
        <v>3</v>
      </c>
      <c r="H580" s="10">
        <v>1</v>
      </c>
      <c r="I580" s="10"/>
      <c r="J580" s="10">
        <v>1088</v>
      </c>
      <c r="K580" s="104">
        <v>45209</v>
      </c>
      <c r="L580" s="104">
        <v>45246</v>
      </c>
      <c r="M580" s="10" t="b">
        <v>0</v>
      </c>
      <c r="N580" s="10">
        <v>38</v>
      </c>
      <c r="O580" s="11">
        <v>1590</v>
      </c>
      <c r="P580" s="85">
        <v>1.4613970588235294</v>
      </c>
      <c r="Q580" s="11">
        <v>1548</v>
      </c>
      <c r="R580" s="85">
        <v>1.4227941176470589</v>
      </c>
      <c r="S580" s="29" t="s">
        <v>1998</v>
      </c>
      <c r="T580" s="29" t="s">
        <v>2039</v>
      </c>
    </row>
    <row r="581">
      <c r="B581" s="29" t="s">
        <v>1219</v>
      </c>
      <c r="C581" s="29" t="s">
        <v>1245</v>
      </c>
      <c r="D581" s="8" t="s">
        <v>1271</v>
      </c>
      <c r="E581" s="10" t="s">
        <v>1897</v>
      </c>
      <c r="F581" s="10">
        <v>1</v>
      </c>
      <c r="G581" s="10">
        <v>3</v>
      </c>
      <c r="H581" s="10">
        <v>1</v>
      </c>
      <c r="I581" s="10"/>
      <c r="J581" s="10">
        <v>1088</v>
      </c>
      <c r="K581" s="104">
        <v>45328</v>
      </c>
      <c r="L581" s="104">
        <v>45330</v>
      </c>
      <c r="M581" s="10" t="b">
        <v>0</v>
      </c>
      <c r="N581" s="10">
        <v>3</v>
      </c>
      <c r="O581" s="11">
        <v>1600</v>
      </c>
      <c r="P581" s="85">
        <v>1.4705882352941178</v>
      </c>
      <c r="Q581" s="11">
        <v>1600</v>
      </c>
      <c r="R581" s="85">
        <v>1.4705882352941178</v>
      </c>
      <c r="S581" s="29" t="s">
        <v>1998</v>
      </c>
      <c r="T581" s="29" t="s">
        <v>2039</v>
      </c>
    </row>
    <row r="582">
      <c r="B582" s="29" t="s">
        <v>1219</v>
      </c>
      <c r="C582" s="29" t="s">
        <v>1245</v>
      </c>
      <c r="D582" s="8" t="s">
        <v>1272</v>
      </c>
      <c r="E582" s="10" t="s">
        <v>1898</v>
      </c>
      <c r="F582" s="10"/>
      <c r="G582" s="10">
        <v>3</v>
      </c>
      <c r="H582" s="10">
        <v>1</v>
      </c>
      <c r="I582" s="10"/>
      <c r="J582" s="10">
        <v>1088</v>
      </c>
      <c r="K582" s="104"/>
      <c r="L582" s="104">
        <v>45114</v>
      </c>
      <c r="M582" s="10" t="b">
        <v>0</v>
      </c>
      <c r="N582" s="10"/>
      <c r="O582" s="11">
        <v>1615</v>
      </c>
      <c r="P582" s="85">
        <v>1.484375</v>
      </c>
      <c r="Q582" s="11">
        <v>1573</v>
      </c>
      <c r="R582" s="85">
        <v>1.4457720588235294</v>
      </c>
      <c r="S582" s="29" t="s">
        <v>1998</v>
      </c>
      <c r="T582" s="29" t="s">
        <v>2039</v>
      </c>
    </row>
    <row r="583">
      <c r="B583" s="29" t="s">
        <v>1219</v>
      </c>
      <c r="C583" s="29" t="s">
        <v>1245</v>
      </c>
      <c r="D583" s="8" t="s">
        <v>1271</v>
      </c>
      <c r="E583" s="10" t="s">
        <v>1899</v>
      </c>
      <c r="F583" s="10"/>
      <c r="G583" s="10">
        <v>3</v>
      </c>
      <c r="H583" s="10">
        <v>1</v>
      </c>
      <c r="I583" s="10"/>
      <c r="J583" s="10">
        <v>1088</v>
      </c>
      <c r="K583" s="104">
        <v>45344</v>
      </c>
      <c r="L583" s="104">
        <v>45365</v>
      </c>
      <c r="M583" s="10" t="b">
        <v>0</v>
      </c>
      <c r="N583" s="10">
        <v>22</v>
      </c>
      <c r="O583" s="11">
        <v>1630</v>
      </c>
      <c r="P583" s="85">
        <v>1.4981617647058822</v>
      </c>
      <c r="Q583" s="11">
        <v>1630</v>
      </c>
      <c r="R583" s="85">
        <v>1.4981617647058822</v>
      </c>
      <c r="S583" s="29" t="s">
        <v>1998</v>
      </c>
      <c r="T583" s="29" t="s">
        <v>2039</v>
      </c>
    </row>
    <row r="584">
      <c r="B584" s="29" t="s">
        <v>1219</v>
      </c>
      <c r="C584" s="29" t="s">
        <v>1245</v>
      </c>
      <c r="D584" s="8" t="s">
        <v>1271</v>
      </c>
      <c r="E584" s="10" t="s">
        <v>1900</v>
      </c>
      <c r="F584" s="10"/>
      <c r="G584" s="10">
        <v>3</v>
      </c>
      <c r="H584" s="10">
        <v>1</v>
      </c>
      <c r="I584" s="10"/>
      <c r="J584" s="10">
        <v>1088</v>
      </c>
      <c r="K584" s="104">
        <v>45360</v>
      </c>
      <c r="L584" s="104">
        <v>45368</v>
      </c>
      <c r="M584" s="10" t="b">
        <v>0</v>
      </c>
      <c r="N584" s="10">
        <v>9</v>
      </c>
      <c r="O584" s="11">
        <v>1690</v>
      </c>
      <c r="P584" s="85">
        <v>1.5533088235294117</v>
      </c>
      <c r="Q584" s="11">
        <v>1690</v>
      </c>
      <c r="R584" s="85">
        <v>1.5533088235294117</v>
      </c>
      <c r="S584" s="29" t="s">
        <v>1998</v>
      </c>
      <c r="T584" s="29" t="s">
        <v>2039</v>
      </c>
    </row>
    <row r="585">
      <c r="B585" s="29" t="s">
        <v>1219</v>
      </c>
      <c r="C585" s="29" t="s">
        <v>1245</v>
      </c>
      <c r="D585" s="8" t="s">
        <v>1271</v>
      </c>
      <c r="E585" s="10" t="s">
        <v>1901</v>
      </c>
      <c r="F585" s="10"/>
      <c r="G585" s="10">
        <v>3</v>
      </c>
      <c r="H585" s="10">
        <v>1</v>
      </c>
      <c r="I585" s="10"/>
      <c r="J585" s="10">
        <v>1088</v>
      </c>
      <c r="K585" s="104">
        <v>45247</v>
      </c>
      <c r="L585" s="104">
        <v>45378</v>
      </c>
      <c r="M585" s="10" t="b">
        <v>0</v>
      </c>
      <c r="N585" s="10">
        <v>132</v>
      </c>
      <c r="O585" s="11">
        <v>1690</v>
      </c>
      <c r="P585" s="85">
        <v>1.5533088235294117</v>
      </c>
      <c r="Q585" s="11">
        <v>1690</v>
      </c>
      <c r="R585" s="85">
        <v>1.5533088235294117</v>
      </c>
      <c r="S585" s="29" t="s">
        <v>1998</v>
      </c>
      <c r="T585" s="29" t="s">
        <v>2039</v>
      </c>
    </row>
    <row r="586">
      <c r="B586" s="29" t="s">
        <v>1220</v>
      </c>
      <c r="C586" s="29" t="s">
        <v>1246</v>
      </c>
      <c r="D586" s="8" t="s">
        <v>13</v>
      </c>
      <c r="E586" s="10" t="s">
        <v>1902</v>
      </c>
      <c r="F586" s="10">
        <v>1</v>
      </c>
      <c r="G586" s="10">
        <v>0</v>
      </c>
      <c r="H586" s="10">
        <v>1</v>
      </c>
      <c r="I586" s="10"/>
      <c r="J586" s="10">
        <v>416</v>
      </c>
      <c r="K586" s="104">
        <v>45708</v>
      </c>
      <c r="L586" s="104"/>
      <c r="M586" s="10" t="b">
        <v>1</v>
      </c>
      <c r="N586" s="10"/>
      <c r="O586" s="11">
        <v>1040</v>
      </c>
      <c r="P586" s="85">
        <v>2.5</v>
      </c>
      <c r="Q586" s="11">
        <v>1040</v>
      </c>
      <c r="R586" s="85">
        <v>2.5</v>
      </c>
      <c r="S586" s="29" t="s">
        <v>1998</v>
      </c>
      <c r="T586" s="29" t="s">
        <v>1998</v>
      </c>
    </row>
    <row r="587">
      <c r="B587" s="29" t="s">
        <v>1220</v>
      </c>
      <c r="C587" s="29" t="s">
        <v>1246</v>
      </c>
      <c r="D587" s="8" t="s">
        <v>13</v>
      </c>
      <c r="E587" s="10" t="s">
        <v>1903</v>
      </c>
      <c r="F587" s="10">
        <v>1</v>
      </c>
      <c r="G587" s="10">
        <v>0</v>
      </c>
      <c r="H587" s="10">
        <v>1</v>
      </c>
      <c r="I587" s="10"/>
      <c r="J587" s="10">
        <v>416</v>
      </c>
      <c r="K587" s="104">
        <v>45525</v>
      </c>
      <c r="L587" s="104"/>
      <c r="M587" s="10" t="b">
        <v>1</v>
      </c>
      <c r="N587" s="10"/>
      <c r="O587" s="11">
        <v>1040</v>
      </c>
      <c r="P587" s="85">
        <v>2.5</v>
      </c>
      <c r="Q587" s="11">
        <v>1040</v>
      </c>
      <c r="R587" s="85">
        <v>2.5</v>
      </c>
      <c r="S587" s="29" t="s">
        <v>1998</v>
      </c>
      <c r="T587" s="29" t="s">
        <v>1998</v>
      </c>
    </row>
    <row r="588">
      <c r="B588" s="29" t="s">
        <v>1220</v>
      </c>
      <c r="C588" s="29" t="s">
        <v>1246</v>
      </c>
      <c r="D588" s="8" t="s">
        <v>1273</v>
      </c>
      <c r="E588" s="10" t="s">
        <v>1904</v>
      </c>
      <c r="F588" s="10">
        <v>1</v>
      </c>
      <c r="G588" s="10">
        <v>0</v>
      </c>
      <c r="H588" s="10">
        <v>1</v>
      </c>
      <c r="I588" s="10"/>
      <c r="J588" s="10">
        <v>416</v>
      </c>
      <c r="K588" s="104">
        <v>45119</v>
      </c>
      <c r="L588" s="104">
        <v>45182</v>
      </c>
      <c r="M588" s="10" t="b">
        <v>0</v>
      </c>
      <c r="N588" s="10">
        <v>64</v>
      </c>
      <c r="O588" s="11">
        <v>1055</v>
      </c>
      <c r="P588" s="85">
        <v>2.5360576923076925</v>
      </c>
      <c r="Q588" s="11">
        <v>1055</v>
      </c>
      <c r="R588" s="85">
        <v>2.5360576923076925</v>
      </c>
      <c r="S588" s="29" t="s">
        <v>1998</v>
      </c>
      <c r="T588" s="29" t="s">
        <v>2033</v>
      </c>
    </row>
    <row r="589">
      <c r="B589" s="29" t="s">
        <v>1220</v>
      </c>
      <c r="C589" s="29" t="s">
        <v>1246</v>
      </c>
      <c r="D589" s="8" t="s">
        <v>1273</v>
      </c>
      <c r="E589" s="10" t="s">
        <v>1905</v>
      </c>
      <c r="F589" s="10">
        <v>1</v>
      </c>
      <c r="G589" s="10">
        <v>0</v>
      </c>
      <c r="H589" s="10">
        <v>1</v>
      </c>
      <c r="I589" s="10"/>
      <c r="J589" s="10">
        <v>416</v>
      </c>
      <c r="K589" s="104">
        <v>45333</v>
      </c>
      <c r="L589" s="104">
        <v>45353</v>
      </c>
      <c r="M589" s="10" t="b">
        <v>0</v>
      </c>
      <c r="N589" s="10">
        <v>21</v>
      </c>
      <c r="O589" s="11">
        <v>1075</v>
      </c>
      <c r="P589" s="85">
        <v>2.5841346153846154</v>
      </c>
      <c r="Q589" s="11">
        <v>1075</v>
      </c>
      <c r="R589" s="85">
        <v>2.5841346153846154</v>
      </c>
      <c r="S589" s="29" t="s">
        <v>1998</v>
      </c>
      <c r="T589" s="29" t="s">
        <v>2033</v>
      </c>
    </row>
    <row r="590">
      <c r="B590" s="29" t="s">
        <v>1220</v>
      </c>
      <c r="C590" s="29" t="s">
        <v>1246</v>
      </c>
      <c r="D590" s="8" t="s">
        <v>1273</v>
      </c>
      <c r="E590" s="10" t="s">
        <v>1906</v>
      </c>
      <c r="F590" s="10">
        <v>1</v>
      </c>
      <c r="G590" s="10">
        <v>0</v>
      </c>
      <c r="H590" s="10">
        <v>1</v>
      </c>
      <c r="I590" s="10"/>
      <c r="J590" s="10">
        <v>416</v>
      </c>
      <c r="K590" s="104">
        <v>45631</v>
      </c>
      <c r="L590" s="104"/>
      <c r="M590" s="10" t="b">
        <v>1</v>
      </c>
      <c r="N590" s="10"/>
      <c r="O590" s="11">
        <v>1090</v>
      </c>
      <c r="P590" s="85">
        <v>2.6201923076923075</v>
      </c>
      <c r="Q590" s="11">
        <v>1090</v>
      </c>
      <c r="R590" s="85">
        <v>2.6201923076923075</v>
      </c>
      <c r="S590" s="29" t="s">
        <v>1998</v>
      </c>
      <c r="T590" s="29" t="s">
        <v>2033</v>
      </c>
    </row>
    <row r="591">
      <c r="B591" s="29" t="s">
        <v>1220</v>
      </c>
      <c r="C591" s="29" t="s">
        <v>1246</v>
      </c>
      <c r="D591" s="8" t="s">
        <v>1274</v>
      </c>
      <c r="E591" s="10"/>
      <c r="F591" s="10"/>
      <c r="G591" s="10">
        <v>0</v>
      </c>
      <c r="H591" s="10">
        <v>1</v>
      </c>
      <c r="I591" s="10"/>
      <c r="J591" s="10">
        <v>416</v>
      </c>
      <c r="K591" s="104">
        <v>45307</v>
      </c>
      <c r="L591" s="104">
        <v>45308</v>
      </c>
      <c r="M591" s="10" t="b">
        <v>0</v>
      </c>
      <c r="N591" s="10">
        <v>2</v>
      </c>
      <c r="O591" s="11">
        <v>1105</v>
      </c>
      <c r="P591" s="85">
        <v>2.65625</v>
      </c>
      <c r="Q591" s="11">
        <v>1042</v>
      </c>
      <c r="R591" s="85">
        <v>2.5048076923076925</v>
      </c>
      <c r="S591" s="29" t="s">
        <v>1998</v>
      </c>
      <c r="T591" s="29" t="s">
        <v>1998</v>
      </c>
    </row>
    <row r="592">
      <c r="B592" s="29" t="s">
        <v>1220</v>
      </c>
      <c r="C592" s="29" t="s">
        <v>1246</v>
      </c>
      <c r="D592" s="8" t="s">
        <v>1274</v>
      </c>
      <c r="E592" s="10" t="s">
        <v>1907</v>
      </c>
      <c r="F592" s="10">
        <v>1</v>
      </c>
      <c r="G592" s="10">
        <v>0</v>
      </c>
      <c r="H592" s="10">
        <v>1</v>
      </c>
      <c r="I592" s="10"/>
      <c r="J592" s="10">
        <v>416</v>
      </c>
      <c r="K592" s="104">
        <v>45303</v>
      </c>
      <c r="L592" s="104">
        <v>45307</v>
      </c>
      <c r="M592" s="10" t="b">
        <v>0</v>
      </c>
      <c r="N592" s="10">
        <v>5</v>
      </c>
      <c r="O592" s="11">
        <v>1105</v>
      </c>
      <c r="P592" s="85">
        <v>2.65625</v>
      </c>
      <c r="Q592" s="11">
        <v>1105</v>
      </c>
      <c r="R592" s="85">
        <v>2.65625</v>
      </c>
      <c r="S592" s="29" t="s">
        <v>1998</v>
      </c>
      <c r="T592" s="29" t="s">
        <v>1998</v>
      </c>
    </row>
    <row r="593">
      <c r="B593" s="29" t="s">
        <v>1220</v>
      </c>
      <c r="C593" s="29" t="s">
        <v>1246</v>
      </c>
      <c r="D593" s="8" t="s">
        <v>13</v>
      </c>
      <c r="E593" s="10" t="s">
        <v>1908</v>
      </c>
      <c r="F593" s="10">
        <v>1</v>
      </c>
      <c r="G593" s="10">
        <v>0</v>
      </c>
      <c r="H593" s="10">
        <v>1</v>
      </c>
      <c r="I593" s="10"/>
      <c r="J593" s="10">
        <v>416</v>
      </c>
      <c r="K593" s="104">
        <v>45576</v>
      </c>
      <c r="L593" s="104">
        <v>45734</v>
      </c>
      <c r="M593" s="10" t="b">
        <v>0</v>
      </c>
      <c r="N593" s="10">
        <v>159</v>
      </c>
      <c r="O593" s="11">
        <v>1125</v>
      </c>
      <c r="P593" s="85">
        <v>2.704326923076923</v>
      </c>
      <c r="Q593" s="11">
        <v>1125</v>
      </c>
      <c r="R593" s="85">
        <v>2.704326923076923</v>
      </c>
      <c r="S593" s="29" t="s">
        <v>1998</v>
      </c>
      <c r="T593" s="29" t="s">
        <v>1998</v>
      </c>
    </row>
    <row r="594">
      <c r="B594" s="29" t="s">
        <v>1220</v>
      </c>
      <c r="C594" s="29" t="s">
        <v>1246</v>
      </c>
      <c r="D594" s="8" t="s">
        <v>13</v>
      </c>
      <c r="E594" s="10" t="s">
        <v>1909</v>
      </c>
      <c r="F594" s="10">
        <v>1</v>
      </c>
      <c r="G594" s="10">
        <v>0</v>
      </c>
      <c r="H594" s="10">
        <v>1</v>
      </c>
      <c r="I594" s="10"/>
      <c r="J594" s="10">
        <v>416</v>
      </c>
      <c r="K594" s="104">
        <v>45525</v>
      </c>
      <c r="L594" s="104">
        <v>45587</v>
      </c>
      <c r="M594" s="10" t="b">
        <v>0</v>
      </c>
      <c r="N594" s="10">
        <v>63</v>
      </c>
      <c r="O594" s="11">
        <v>1135</v>
      </c>
      <c r="P594" s="85">
        <v>2.7283653846153846</v>
      </c>
      <c r="Q594" s="11">
        <v>1135</v>
      </c>
      <c r="R594" s="85">
        <v>2.7283653846153846</v>
      </c>
      <c r="S594" s="29" t="s">
        <v>1998</v>
      </c>
      <c r="T594" s="29" t="s">
        <v>1998</v>
      </c>
    </row>
    <row r="595">
      <c r="B595" s="29" t="s">
        <v>1220</v>
      </c>
      <c r="C595" s="29" t="s">
        <v>1246</v>
      </c>
      <c r="D595" s="8" t="s">
        <v>1274</v>
      </c>
      <c r="E595" s="10" t="s">
        <v>1910</v>
      </c>
      <c r="F595" s="10">
        <v>1</v>
      </c>
      <c r="G595" s="10">
        <v>0</v>
      </c>
      <c r="H595" s="10">
        <v>1</v>
      </c>
      <c r="I595" s="10"/>
      <c r="J595" s="10">
        <v>600</v>
      </c>
      <c r="K595" s="104">
        <v>45428</v>
      </c>
      <c r="L595" s="104">
        <v>45462</v>
      </c>
      <c r="M595" s="10" t="b">
        <v>0</v>
      </c>
      <c r="N595" s="10">
        <v>35</v>
      </c>
      <c r="O595" s="11">
        <v>1122</v>
      </c>
      <c r="P595" s="85">
        <v>1.87</v>
      </c>
      <c r="Q595" s="11">
        <v>1122</v>
      </c>
      <c r="R595" s="85">
        <v>1.87</v>
      </c>
      <c r="S595" s="29" t="s">
        <v>1998</v>
      </c>
      <c r="T595" s="29" t="s">
        <v>1998</v>
      </c>
    </row>
    <row r="596">
      <c r="B596" s="29" t="s">
        <v>1220</v>
      </c>
      <c r="C596" s="29" t="s">
        <v>1246</v>
      </c>
      <c r="D596" s="8" t="s">
        <v>1274</v>
      </c>
      <c r="E596" s="10" t="s">
        <v>1911</v>
      </c>
      <c r="F596" s="10">
        <v>1</v>
      </c>
      <c r="G596" s="10">
        <v>0</v>
      </c>
      <c r="H596" s="10">
        <v>1</v>
      </c>
      <c r="I596" s="10"/>
      <c r="J596" s="10">
        <v>745</v>
      </c>
      <c r="K596" s="104">
        <v>45160</v>
      </c>
      <c r="L596" s="104">
        <v>45232</v>
      </c>
      <c r="M596" s="10" t="b">
        <v>0</v>
      </c>
      <c r="N596" s="10">
        <v>73</v>
      </c>
      <c r="O596" s="11">
        <v>1105</v>
      </c>
      <c r="P596" s="85">
        <v>1.483221476510067</v>
      </c>
      <c r="Q596" s="11">
        <v>1105</v>
      </c>
      <c r="R596" s="85">
        <v>1.483221476510067</v>
      </c>
      <c r="S596" s="29" t="s">
        <v>1998</v>
      </c>
      <c r="T596" s="29" t="s">
        <v>1998</v>
      </c>
    </row>
    <row r="597">
      <c r="B597" s="29" t="s">
        <v>1220</v>
      </c>
      <c r="C597" s="29" t="s">
        <v>1246</v>
      </c>
      <c r="D597" s="8" t="s">
        <v>1275</v>
      </c>
      <c r="E597" s="10" t="s">
        <v>1912</v>
      </c>
      <c r="F597" s="10">
        <v>1</v>
      </c>
      <c r="G597" s="10">
        <v>1</v>
      </c>
      <c r="H597" s="10">
        <v>1</v>
      </c>
      <c r="I597" s="10"/>
      <c r="J597" s="10">
        <v>416</v>
      </c>
      <c r="K597" s="104">
        <v>45661</v>
      </c>
      <c r="L597" s="104"/>
      <c r="M597" s="10" t="b">
        <v>1</v>
      </c>
      <c r="N597" s="10"/>
      <c r="O597" s="11">
        <v>1150</v>
      </c>
      <c r="P597" s="85">
        <v>2.764423076923077</v>
      </c>
      <c r="Q597" s="11">
        <v>1150</v>
      </c>
      <c r="R597" s="85">
        <v>2.764423076923077</v>
      </c>
      <c r="S597" s="29" t="s">
        <v>1998</v>
      </c>
      <c r="T597" s="29" t="s">
        <v>1998</v>
      </c>
    </row>
    <row r="598">
      <c r="B598" s="29" t="s">
        <v>1220</v>
      </c>
      <c r="C598" s="29" t="s">
        <v>1246</v>
      </c>
      <c r="D598" s="8" t="s">
        <v>1275</v>
      </c>
      <c r="E598" s="10" t="s">
        <v>1913</v>
      </c>
      <c r="F598" s="10">
        <v>1</v>
      </c>
      <c r="G598" s="10">
        <v>1</v>
      </c>
      <c r="H598" s="10">
        <v>1</v>
      </c>
      <c r="I598" s="10"/>
      <c r="J598" s="10">
        <v>600</v>
      </c>
      <c r="K598" s="104">
        <v>45757</v>
      </c>
      <c r="L598" s="104">
        <v>45776</v>
      </c>
      <c r="M598" s="10" t="b">
        <v>0</v>
      </c>
      <c r="N598" s="10">
        <v>20</v>
      </c>
      <c r="O598" s="11">
        <v>1100</v>
      </c>
      <c r="P598" s="85">
        <v>1.8333333333333333</v>
      </c>
      <c r="Q598" s="11">
        <v>1100</v>
      </c>
      <c r="R598" s="85">
        <v>1.8333333333333333</v>
      </c>
      <c r="S598" s="29" t="s">
        <v>1998</v>
      </c>
      <c r="T598" s="29" t="s">
        <v>1998</v>
      </c>
    </row>
    <row r="599">
      <c r="B599" s="29" t="s">
        <v>1220</v>
      </c>
      <c r="C599" s="29" t="s">
        <v>1246</v>
      </c>
      <c r="D599" s="8" t="s">
        <v>1275</v>
      </c>
      <c r="E599" s="10" t="s">
        <v>1914</v>
      </c>
      <c r="F599" s="10">
        <v>1</v>
      </c>
      <c r="G599" s="10">
        <v>1</v>
      </c>
      <c r="H599" s="10">
        <v>1</v>
      </c>
      <c r="I599" s="10"/>
      <c r="J599" s="10">
        <v>600</v>
      </c>
      <c r="K599" s="104">
        <v>45576</v>
      </c>
      <c r="L599" s="104">
        <v>45775</v>
      </c>
      <c r="M599" s="10" t="b">
        <v>0</v>
      </c>
      <c r="N599" s="10">
        <v>200</v>
      </c>
      <c r="O599" s="11">
        <v>1100</v>
      </c>
      <c r="P599" s="85">
        <v>1.8333333333333333</v>
      </c>
      <c r="Q599" s="11">
        <v>1100</v>
      </c>
      <c r="R599" s="85">
        <v>1.8333333333333333</v>
      </c>
      <c r="S599" s="29" t="s">
        <v>1998</v>
      </c>
      <c r="T599" s="29" t="s">
        <v>1998</v>
      </c>
    </row>
    <row r="600">
      <c r="B600" s="29" t="s">
        <v>1220</v>
      </c>
      <c r="C600" s="29" t="s">
        <v>1246</v>
      </c>
      <c r="D600" s="8" t="s">
        <v>1275</v>
      </c>
      <c r="E600" s="10" t="s">
        <v>1915</v>
      </c>
      <c r="F600" s="10">
        <v>1</v>
      </c>
      <c r="G600" s="10">
        <v>1</v>
      </c>
      <c r="H600" s="10">
        <v>1</v>
      </c>
      <c r="I600" s="10"/>
      <c r="J600" s="10">
        <v>600</v>
      </c>
      <c r="K600" s="104">
        <v>45525</v>
      </c>
      <c r="L600" s="104">
        <v>45572</v>
      </c>
      <c r="M600" s="10" t="b">
        <v>0</v>
      </c>
      <c r="N600" s="10">
        <v>48</v>
      </c>
      <c r="O600" s="11">
        <v>1122</v>
      </c>
      <c r="P600" s="85">
        <v>1.87</v>
      </c>
      <c r="Q600" s="11">
        <v>1122</v>
      </c>
      <c r="R600" s="85">
        <v>1.87</v>
      </c>
      <c r="S600" s="29" t="s">
        <v>1998</v>
      </c>
      <c r="T600" s="29" t="s">
        <v>1998</v>
      </c>
    </row>
    <row r="601">
      <c r="B601" s="29" t="s">
        <v>1220</v>
      </c>
      <c r="C601" s="29" t="s">
        <v>1246</v>
      </c>
      <c r="D601" s="8" t="s">
        <v>1276</v>
      </c>
      <c r="E601" s="10" t="s">
        <v>1916</v>
      </c>
      <c r="F601" s="10">
        <v>2</v>
      </c>
      <c r="G601" s="10">
        <v>1</v>
      </c>
      <c r="H601" s="10">
        <v>1</v>
      </c>
      <c r="I601" s="10"/>
      <c r="J601" s="10">
        <v>745</v>
      </c>
      <c r="K601" s="104">
        <v>45680</v>
      </c>
      <c r="L601" s="104">
        <v>45771</v>
      </c>
      <c r="M601" s="10" t="b">
        <v>0</v>
      </c>
      <c r="N601" s="10">
        <v>92</v>
      </c>
      <c r="O601" s="11">
        <v>1150</v>
      </c>
      <c r="P601" s="85">
        <v>1.5436241610738255</v>
      </c>
      <c r="Q601" s="11">
        <v>1150</v>
      </c>
      <c r="R601" s="85">
        <v>1.5436241610738255</v>
      </c>
      <c r="S601" s="29" t="s">
        <v>1998</v>
      </c>
      <c r="T601" s="29" t="s">
        <v>1998</v>
      </c>
    </row>
    <row r="602">
      <c r="B602" s="29" t="s">
        <v>1220</v>
      </c>
      <c r="C602" s="29" t="s">
        <v>1246</v>
      </c>
      <c r="D602" s="8" t="s">
        <v>1276</v>
      </c>
      <c r="E602" s="10" t="s">
        <v>1917</v>
      </c>
      <c r="F602" s="10">
        <v>1</v>
      </c>
      <c r="G602" s="10">
        <v>1</v>
      </c>
      <c r="H602" s="10">
        <v>1</v>
      </c>
      <c r="I602" s="10"/>
      <c r="J602" s="10">
        <v>745</v>
      </c>
      <c r="K602" s="104">
        <v>45720</v>
      </c>
      <c r="L602" s="104">
        <v>45776</v>
      </c>
      <c r="M602" s="10" t="b">
        <v>0</v>
      </c>
      <c r="N602" s="10">
        <v>57</v>
      </c>
      <c r="O602" s="11">
        <v>1150</v>
      </c>
      <c r="P602" s="85">
        <v>1.5436241610738255</v>
      </c>
      <c r="Q602" s="11">
        <v>1150</v>
      </c>
      <c r="R602" s="85">
        <v>1.5436241610738255</v>
      </c>
      <c r="S602" s="29" t="s">
        <v>1998</v>
      </c>
      <c r="T602" s="29" t="s">
        <v>1998</v>
      </c>
    </row>
    <row r="603">
      <c r="B603" s="29" t="s">
        <v>1220</v>
      </c>
      <c r="C603" s="29" t="s">
        <v>1246</v>
      </c>
      <c r="D603" s="8" t="s">
        <v>1276</v>
      </c>
      <c r="E603" s="10" t="s">
        <v>1918</v>
      </c>
      <c r="F603" s="10">
        <v>1</v>
      </c>
      <c r="G603" s="10">
        <v>1</v>
      </c>
      <c r="H603" s="10">
        <v>1</v>
      </c>
      <c r="I603" s="10"/>
      <c r="J603" s="10">
        <v>745</v>
      </c>
      <c r="K603" s="104">
        <v>45350</v>
      </c>
      <c r="L603" s="104">
        <v>45372</v>
      </c>
      <c r="M603" s="10" t="b">
        <v>0</v>
      </c>
      <c r="N603" s="10">
        <v>23</v>
      </c>
      <c r="O603" s="11">
        <v>1195</v>
      </c>
      <c r="P603" s="85">
        <v>1.604026845637584</v>
      </c>
      <c r="Q603" s="11">
        <v>1195</v>
      </c>
      <c r="R603" s="85">
        <v>1.604026845637584</v>
      </c>
      <c r="S603" s="29" t="s">
        <v>1998</v>
      </c>
      <c r="T603" s="29" t="s">
        <v>2030</v>
      </c>
    </row>
    <row r="604">
      <c r="B604" s="29" t="s">
        <v>1220</v>
      </c>
      <c r="C604" s="29" t="s">
        <v>1246</v>
      </c>
      <c r="D604" s="8" t="s">
        <v>1276</v>
      </c>
      <c r="E604" s="10" t="s">
        <v>1919</v>
      </c>
      <c r="F604" s="10">
        <v>3</v>
      </c>
      <c r="G604" s="10">
        <v>1</v>
      </c>
      <c r="H604" s="10">
        <v>1</v>
      </c>
      <c r="I604" s="10"/>
      <c r="J604" s="10">
        <v>745</v>
      </c>
      <c r="K604" s="104">
        <v>45170</v>
      </c>
      <c r="L604" s="104">
        <v>45284</v>
      </c>
      <c r="M604" s="10" t="b">
        <v>0</v>
      </c>
      <c r="N604" s="10">
        <v>115</v>
      </c>
      <c r="O604" s="11">
        <v>1195</v>
      </c>
      <c r="P604" s="85">
        <v>1.604026845637584</v>
      </c>
      <c r="Q604" s="11">
        <v>1132</v>
      </c>
      <c r="R604" s="85">
        <v>1.5194630872483221</v>
      </c>
      <c r="S604" s="29" t="s">
        <v>1998</v>
      </c>
      <c r="T604" s="29" t="s">
        <v>2030</v>
      </c>
    </row>
    <row r="605">
      <c r="B605" s="29" t="s">
        <v>1220</v>
      </c>
      <c r="C605" s="29" t="s">
        <v>1246</v>
      </c>
      <c r="D605" s="8" t="s">
        <v>1276</v>
      </c>
      <c r="E605" s="10" t="s">
        <v>1920</v>
      </c>
      <c r="F605" s="10">
        <v>2</v>
      </c>
      <c r="G605" s="10">
        <v>1</v>
      </c>
      <c r="H605" s="10">
        <v>1</v>
      </c>
      <c r="I605" s="10"/>
      <c r="J605" s="10">
        <v>745</v>
      </c>
      <c r="K605" s="104">
        <v>45388</v>
      </c>
      <c r="L605" s="104">
        <v>45399</v>
      </c>
      <c r="M605" s="10" t="b">
        <v>0</v>
      </c>
      <c r="N605" s="10">
        <v>12</v>
      </c>
      <c r="O605" s="11">
        <v>1195</v>
      </c>
      <c r="P605" s="85">
        <v>1.604026845637584</v>
      </c>
      <c r="Q605" s="11">
        <v>1195</v>
      </c>
      <c r="R605" s="85">
        <v>1.604026845637584</v>
      </c>
      <c r="S605" s="29" t="s">
        <v>1998</v>
      </c>
      <c r="T605" s="29" t="s">
        <v>2030</v>
      </c>
    </row>
    <row r="606">
      <c r="B606" s="29" t="s">
        <v>1220</v>
      </c>
      <c r="C606" s="29" t="s">
        <v>1246</v>
      </c>
      <c r="D606" s="8" t="s">
        <v>1276</v>
      </c>
      <c r="E606" s="10" t="s">
        <v>1921</v>
      </c>
      <c r="F606" s="10">
        <v>1</v>
      </c>
      <c r="G606" s="10">
        <v>1</v>
      </c>
      <c r="H606" s="10">
        <v>1</v>
      </c>
      <c r="I606" s="10"/>
      <c r="J606" s="10">
        <v>745</v>
      </c>
      <c r="K606" s="104">
        <v>45170</v>
      </c>
      <c r="L606" s="104">
        <v>45188</v>
      </c>
      <c r="M606" s="10" t="b">
        <v>0</v>
      </c>
      <c r="N606" s="10">
        <v>19</v>
      </c>
      <c r="O606" s="11">
        <v>1195</v>
      </c>
      <c r="P606" s="85">
        <v>1.604026845637584</v>
      </c>
      <c r="Q606" s="11">
        <v>1195</v>
      </c>
      <c r="R606" s="85">
        <v>1.604026845637584</v>
      </c>
      <c r="S606" s="29" t="s">
        <v>1998</v>
      </c>
      <c r="T606" s="29" t="s">
        <v>2030</v>
      </c>
    </row>
    <row r="607">
      <c r="B607" s="29" t="s">
        <v>1220</v>
      </c>
      <c r="C607" s="29" t="s">
        <v>1246</v>
      </c>
      <c r="D607" s="8" t="s">
        <v>1276</v>
      </c>
      <c r="E607" s="10" t="s">
        <v>1922</v>
      </c>
      <c r="F607" s="10">
        <v>3</v>
      </c>
      <c r="G607" s="10">
        <v>1</v>
      </c>
      <c r="H607" s="10">
        <v>1</v>
      </c>
      <c r="I607" s="10"/>
      <c r="J607" s="10">
        <v>745</v>
      </c>
      <c r="K607" s="104">
        <v>45374</v>
      </c>
      <c r="L607" s="104">
        <v>45393</v>
      </c>
      <c r="M607" s="10" t="b">
        <v>0</v>
      </c>
      <c r="N607" s="10">
        <v>20</v>
      </c>
      <c r="O607" s="11">
        <v>1195</v>
      </c>
      <c r="P607" s="85">
        <v>1.604026845637584</v>
      </c>
      <c r="Q607" s="11">
        <v>1195</v>
      </c>
      <c r="R607" s="85">
        <v>1.604026845637584</v>
      </c>
      <c r="S607" s="29" t="s">
        <v>1998</v>
      </c>
      <c r="T607" s="29" t="s">
        <v>2030</v>
      </c>
    </row>
    <row r="608">
      <c r="B608" s="29" t="s">
        <v>1220</v>
      </c>
      <c r="C608" s="29" t="s">
        <v>1246</v>
      </c>
      <c r="D608" s="8" t="s">
        <v>1276</v>
      </c>
      <c r="E608" s="10" t="s">
        <v>1923</v>
      </c>
      <c r="F608" s="10">
        <v>3</v>
      </c>
      <c r="G608" s="10">
        <v>1</v>
      </c>
      <c r="H608" s="10">
        <v>1</v>
      </c>
      <c r="I608" s="10"/>
      <c r="J608" s="10">
        <v>745</v>
      </c>
      <c r="K608" s="104">
        <v>45191</v>
      </c>
      <c r="L608" s="104">
        <v>45204</v>
      </c>
      <c r="M608" s="10" t="b">
        <v>0</v>
      </c>
      <c r="N608" s="10">
        <v>14</v>
      </c>
      <c r="O608" s="11">
        <v>1195</v>
      </c>
      <c r="P608" s="85">
        <v>1.604026845637584</v>
      </c>
      <c r="Q608" s="11">
        <v>1195</v>
      </c>
      <c r="R608" s="85">
        <v>1.604026845637584</v>
      </c>
      <c r="S608" s="29" t="s">
        <v>1998</v>
      </c>
      <c r="T608" s="29" t="s">
        <v>2030</v>
      </c>
    </row>
    <row r="609">
      <c r="B609" s="29" t="s">
        <v>1220</v>
      </c>
      <c r="C609" s="29" t="s">
        <v>1246</v>
      </c>
      <c r="D609" s="8" t="s">
        <v>1276</v>
      </c>
      <c r="E609" s="10" t="s">
        <v>1924</v>
      </c>
      <c r="F609" s="10">
        <v>2</v>
      </c>
      <c r="G609" s="10">
        <v>1</v>
      </c>
      <c r="H609" s="10">
        <v>1</v>
      </c>
      <c r="I609" s="10"/>
      <c r="J609" s="10">
        <v>745</v>
      </c>
      <c r="K609" s="104">
        <v>45276</v>
      </c>
      <c r="L609" s="104">
        <v>45296</v>
      </c>
      <c r="M609" s="10" t="b">
        <v>0</v>
      </c>
      <c r="N609" s="10">
        <v>21</v>
      </c>
      <c r="O609" s="11">
        <v>1195</v>
      </c>
      <c r="P609" s="85">
        <v>1.604026845637584</v>
      </c>
      <c r="Q609" s="11">
        <v>1195</v>
      </c>
      <c r="R609" s="85">
        <v>1.604026845637584</v>
      </c>
      <c r="S609" s="29" t="s">
        <v>1998</v>
      </c>
      <c r="T609" s="29" t="s">
        <v>2030</v>
      </c>
    </row>
    <row r="610">
      <c r="B610" s="29" t="s">
        <v>1220</v>
      </c>
      <c r="C610" s="29" t="s">
        <v>1246</v>
      </c>
      <c r="D610" s="8" t="s">
        <v>1276</v>
      </c>
      <c r="E610" s="10" t="s">
        <v>1925</v>
      </c>
      <c r="F610" s="10">
        <v>3</v>
      </c>
      <c r="G610" s="10">
        <v>1</v>
      </c>
      <c r="H610" s="10">
        <v>1</v>
      </c>
      <c r="I610" s="10"/>
      <c r="J610" s="10">
        <v>745</v>
      </c>
      <c r="K610" s="104">
        <v>45363</v>
      </c>
      <c r="L610" s="104">
        <v>45388</v>
      </c>
      <c r="M610" s="10" t="b">
        <v>0</v>
      </c>
      <c r="N610" s="10">
        <v>26</v>
      </c>
      <c r="O610" s="11">
        <v>1195</v>
      </c>
      <c r="P610" s="85">
        <v>1.604026845637584</v>
      </c>
      <c r="Q610" s="11">
        <v>1195</v>
      </c>
      <c r="R610" s="85">
        <v>1.604026845637584</v>
      </c>
      <c r="S610" s="29" t="s">
        <v>1998</v>
      </c>
      <c r="T610" s="29" t="s">
        <v>2030</v>
      </c>
    </row>
    <row r="611">
      <c r="B611" s="29" t="s">
        <v>1220</v>
      </c>
      <c r="C611" s="29" t="s">
        <v>1246</v>
      </c>
      <c r="D611" s="8" t="s">
        <v>1277</v>
      </c>
      <c r="E611" s="10" t="s">
        <v>1926</v>
      </c>
      <c r="F611" s="10">
        <v>3</v>
      </c>
      <c r="G611" s="10">
        <v>1</v>
      </c>
      <c r="H611" s="10">
        <v>1</v>
      </c>
      <c r="I611" s="10"/>
      <c r="J611" s="10">
        <v>745</v>
      </c>
      <c r="K611" s="104">
        <v>45747</v>
      </c>
      <c r="L611" s="104"/>
      <c r="M611" s="10" t="b">
        <v>1</v>
      </c>
      <c r="N611" s="10"/>
      <c r="O611" s="11">
        <v>1220</v>
      </c>
      <c r="P611" s="85">
        <v>1.6375838926174497</v>
      </c>
      <c r="Q611" s="11">
        <v>1220</v>
      </c>
      <c r="R611" s="85">
        <v>1.6375838926174497</v>
      </c>
      <c r="S611" s="29" t="s">
        <v>1998</v>
      </c>
      <c r="T611" s="29" t="s">
        <v>1998</v>
      </c>
    </row>
    <row r="612">
      <c r="B612" s="29" t="s">
        <v>1220</v>
      </c>
      <c r="C612" s="29" t="s">
        <v>1246</v>
      </c>
      <c r="D612" s="8" t="s">
        <v>1276</v>
      </c>
      <c r="E612" s="10" t="s">
        <v>1927</v>
      </c>
      <c r="F612" s="10">
        <v>1</v>
      </c>
      <c r="G612" s="10">
        <v>1</v>
      </c>
      <c r="H612" s="10">
        <v>1</v>
      </c>
      <c r="I612" s="10"/>
      <c r="J612" s="10">
        <v>745</v>
      </c>
      <c r="K612" s="104">
        <v>45464</v>
      </c>
      <c r="L612" s="104">
        <v>45510</v>
      </c>
      <c r="M612" s="10" t="b">
        <v>0</v>
      </c>
      <c r="N612" s="10">
        <v>47</v>
      </c>
      <c r="O612" s="11">
        <v>1224</v>
      </c>
      <c r="P612" s="85">
        <v>1.6429530201342282</v>
      </c>
      <c r="Q612" s="11">
        <v>1224</v>
      </c>
      <c r="R612" s="85">
        <v>1.6429530201342282</v>
      </c>
      <c r="S612" s="29" t="s">
        <v>1998</v>
      </c>
      <c r="T612" s="29" t="s">
        <v>2030</v>
      </c>
    </row>
    <row r="613">
      <c r="B613" s="29" t="s">
        <v>1220</v>
      </c>
      <c r="C613" s="29" t="s">
        <v>1246</v>
      </c>
      <c r="D613" s="8" t="s">
        <v>1276</v>
      </c>
      <c r="E613" s="10" t="s">
        <v>1928</v>
      </c>
      <c r="F613" s="10">
        <v>2</v>
      </c>
      <c r="G613" s="10">
        <v>1</v>
      </c>
      <c r="H613" s="10">
        <v>1</v>
      </c>
      <c r="I613" s="10"/>
      <c r="J613" s="10">
        <v>745</v>
      </c>
      <c r="K613" s="104">
        <v>45512</v>
      </c>
      <c r="L613" s="104">
        <v>45552</v>
      </c>
      <c r="M613" s="10" t="b">
        <v>0</v>
      </c>
      <c r="N613" s="10">
        <v>41</v>
      </c>
      <c r="O613" s="11">
        <v>1224</v>
      </c>
      <c r="P613" s="85">
        <v>1.6429530201342282</v>
      </c>
      <c r="Q613" s="11">
        <v>1224</v>
      </c>
      <c r="R613" s="85">
        <v>1.6429530201342282</v>
      </c>
      <c r="S613" s="29" t="s">
        <v>1998</v>
      </c>
      <c r="T613" s="29" t="s">
        <v>1998</v>
      </c>
    </row>
    <row r="614">
      <c r="B614" s="29" t="s">
        <v>1220</v>
      </c>
      <c r="C614" s="29" t="s">
        <v>1246</v>
      </c>
      <c r="D614" s="8" t="s">
        <v>1276</v>
      </c>
      <c r="E614" s="10" t="s">
        <v>1929</v>
      </c>
      <c r="F614" s="10">
        <v>3</v>
      </c>
      <c r="G614" s="10">
        <v>1</v>
      </c>
      <c r="H614" s="10">
        <v>1</v>
      </c>
      <c r="I614" s="10"/>
      <c r="J614" s="10">
        <v>745</v>
      </c>
      <c r="K614" s="104">
        <v>45658</v>
      </c>
      <c r="L614" s="104">
        <v>45775</v>
      </c>
      <c r="M614" s="10" t="b">
        <v>0</v>
      </c>
      <c r="N614" s="10">
        <v>118</v>
      </c>
      <c r="O614" s="11">
        <v>1250</v>
      </c>
      <c r="P614" s="85">
        <v>1.6778523489932886</v>
      </c>
      <c r="Q614" s="11">
        <v>1250</v>
      </c>
      <c r="R614" s="85">
        <v>1.6778523489932886</v>
      </c>
      <c r="S614" s="29" t="s">
        <v>1998</v>
      </c>
      <c r="T614" s="29" t="s">
        <v>1998</v>
      </c>
    </row>
    <row r="615">
      <c r="B615" s="29" t="s">
        <v>1220</v>
      </c>
      <c r="C615" s="29" t="s">
        <v>1246</v>
      </c>
      <c r="D615" s="8" t="s">
        <v>1276</v>
      </c>
      <c r="E615" s="10" t="s">
        <v>1930</v>
      </c>
      <c r="F615" s="10">
        <v>2</v>
      </c>
      <c r="G615" s="10">
        <v>1</v>
      </c>
      <c r="H615" s="10">
        <v>1</v>
      </c>
      <c r="I615" s="10"/>
      <c r="J615" s="10">
        <v>745</v>
      </c>
      <c r="K615" s="104">
        <v>45509</v>
      </c>
      <c r="L615" s="104">
        <v>45587</v>
      </c>
      <c r="M615" s="10" t="b">
        <v>0</v>
      </c>
      <c r="N615" s="10">
        <v>79</v>
      </c>
      <c r="O615" s="11">
        <v>1285</v>
      </c>
      <c r="P615" s="85">
        <v>1.7248322147651007</v>
      </c>
      <c r="Q615" s="11">
        <v>1285</v>
      </c>
      <c r="R615" s="85">
        <v>1.7248322147651007</v>
      </c>
      <c r="S615" s="29" t="s">
        <v>1998</v>
      </c>
      <c r="T615" s="29" t="s">
        <v>1998</v>
      </c>
    </row>
    <row r="616">
      <c r="B616" s="29" t="s">
        <v>1220</v>
      </c>
      <c r="C616" s="29" t="s">
        <v>1246</v>
      </c>
      <c r="D616" s="8" t="s">
        <v>1278</v>
      </c>
      <c r="E616" s="10" t="s">
        <v>1931</v>
      </c>
      <c r="F616" s="10">
        <v>1</v>
      </c>
      <c r="G616" s="10">
        <v>1</v>
      </c>
      <c r="H616" s="10">
        <v>1</v>
      </c>
      <c r="I616" s="10"/>
      <c r="J616" s="10">
        <v>745</v>
      </c>
      <c r="K616" s="104">
        <v>45262</v>
      </c>
      <c r="L616" s="104">
        <v>45276</v>
      </c>
      <c r="M616" s="10" t="b">
        <v>0</v>
      </c>
      <c r="N616" s="10">
        <v>15</v>
      </c>
      <c r="O616" s="11">
        <v>1295</v>
      </c>
      <c r="P616" s="85">
        <v>1.738255033557047</v>
      </c>
      <c r="Q616" s="11">
        <v>1232</v>
      </c>
      <c r="R616" s="85">
        <v>1.6536912751677852</v>
      </c>
      <c r="S616" s="29" t="s">
        <v>1998</v>
      </c>
      <c r="T616" s="29" t="s">
        <v>2034</v>
      </c>
    </row>
    <row r="617">
      <c r="B617" s="29" t="s">
        <v>1220</v>
      </c>
      <c r="C617" s="29" t="s">
        <v>1246</v>
      </c>
      <c r="D617" s="8" t="s">
        <v>1277</v>
      </c>
      <c r="E617" s="10" t="s">
        <v>1932</v>
      </c>
      <c r="F617" s="10">
        <v>1</v>
      </c>
      <c r="G617" s="10">
        <v>1</v>
      </c>
      <c r="H617" s="10">
        <v>1</v>
      </c>
      <c r="I617" s="10"/>
      <c r="J617" s="10">
        <v>745</v>
      </c>
      <c r="K617" s="104">
        <v>45733</v>
      </c>
      <c r="L617" s="104">
        <v>45736</v>
      </c>
      <c r="M617" s="10" t="b">
        <v>0</v>
      </c>
      <c r="N617" s="10">
        <v>4</v>
      </c>
      <c r="O617" s="11">
        <v>1345</v>
      </c>
      <c r="P617" s="85">
        <v>1.8053691275167785</v>
      </c>
      <c r="Q617" s="11">
        <v>1345</v>
      </c>
      <c r="R617" s="85">
        <v>1.8053691275167785</v>
      </c>
      <c r="S617" s="29" t="s">
        <v>1998</v>
      </c>
      <c r="T617" s="29" t="s">
        <v>1998</v>
      </c>
    </row>
    <row r="618">
      <c r="B618" s="29" t="s">
        <v>1220</v>
      </c>
      <c r="C618" s="29" t="s">
        <v>1246</v>
      </c>
      <c r="D618" s="8" t="s">
        <v>1277</v>
      </c>
      <c r="E618" s="10" t="s">
        <v>1933</v>
      </c>
      <c r="F618" s="10">
        <v>1</v>
      </c>
      <c r="G618" s="10">
        <v>1</v>
      </c>
      <c r="H618" s="10">
        <v>1</v>
      </c>
      <c r="I618" s="10"/>
      <c r="J618" s="10">
        <v>745</v>
      </c>
      <c r="K618" s="104">
        <v>45582</v>
      </c>
      <c r="L618" s="104">
        <v>45630</v>
      </c>
      <c r="M618" s="10" t="b">
        <v>0</v>
      </c>
      <c r="N618" s="10">
        <v>49</v>
      </c>
      <c r="O618" s="11">
        <v>1350</v>
      </c>
      <c r="P618" s="85">
        <v>1.8120805369127517</v>
      </c>
      <c r="Q618" s="11">
        <v>1350</v>
      </c>
      <c r="R618" s="85">
        <v>1.8120805369127517</v>
      </c>
      <c r="S618" s="29" t="s">
        <v>1998</v>
      </c>
      <c r="T618" s="29" t="s">
        <v>2030</v>
      </c>
    </row>
    <row r="619">
      <c r="B619" s="29" t="s">
        <v>1220</v>
      </c>
      <c r="C619" s="29" t="s">
        <v>1246</v>
      </c>
      <c r="D619" s="8" t="s">
        <v>1277</v>
      </c>
      <c r="E619" s="10" t="s">
        <v>1934</v>
      </c>
      <c r="F619" s="10">
        <v>3</v>
      </c>
      <c r="G619" s="10">
        <v>1</v>
      </c>
      <c r="H619" s="10">
        <v>1</v>
      </c>
      <c r="I619" s="10"/>
      <c r="J619" s="10">
        <v>745</v>
      </c>
      <c r="K619" s="104">
        <v>45611</v>
      </c>
      <c r="L619" s="104">
        <v>45618</v>
      </c>
      <c r="M619" s="10" t="b">
        <v>0</v>
      </c>
      <c r="N619" s="10">
        <v>8</v>
      </c>
      <c r="O619" s="11">
        <v>1350</v>
      </c>
      <c r="P619" s="85">
        <v>1.8120805369127517</v>
      </c>
      <c r="Q619" s="11">
        <v>1350</v>
      </c>
      <c r="R619" s="85">
        <v>1.8120805369127517</v>
      </c>
      <c r="S619" s="29" t="s">
        <v>1998</v>
      </c>
      <c r="T619" s="29" t="s">
        <v>2030</v>
      </c>
    </row>
    <row r="620">
      <c r="B620" s="29" t="s">
        <v>1220</v>
      </c>
      <c r="C620" s="29" t="s">
        <v>1246</v>
      </c>
      <c r="D620" s="8" t="s">
        <v>1279</v>
      </c>
      <c r="E620" s="10" t="s">
        <v>1935</v>
      </c>
      <c r="F620" s="10">
        <v>1</v>
      </c>
      <c r="G620" s="10">
        <v>2</v>
      </c>
      <c r="H620" s="10">
        <v>1</v>
      </c>
      <c r="I620" s="10"/>
      <c r="J620" s="10">
        <v>745</v>
      </c>
      <c r="K620" s="104">
        <v>45152</v>
      </c>
      <c r="L620" s="104">
        <v>45204</v>
      </c>
      <c r="M620" s="10" t="b">
        <v>0</v>
      </c>
      <c r="N620" s="10">
        <v>53</v>
      </c>
      <c r="O620" s="11">
        <v>1545</v>
      </c>
      <c r="P620" s="85">
        <v>2.0738255033557045</v>
      </c>
      <c r="Q620" s="11">
        <v>1545</v>
      </c>
      <c r="R620" s="85">
        <v>2.0738255033557045</v>
      </c>
      <c r="S620" s="29" t="s">
        <v>1998</v>
      </c>
      <c r="T620" s="29" t="s">
        <v>2033</v>
      </c>
    </row>
    <row r="621">
      <c r="B621" s="29" t="s">
        <v>1220</v>
      </c>
      <c r="C621" s="29" t="s">
        <v>1246</v>
      </c>
      <c r="D621" s="8" t="s">
        <v>1280</v>
      </c>
      <c r="E621" s="10" t="s">
        <v>1936</v>
      </c>
      <c r="F621" s="10">
        <v>3</v>
      </c>
      <c r="G621" s="10">
        <v>2</v>
      </c>
      <c r="H621" s="10">
        <v>1</v>
      </c>
      <c r="I621" s="10"/>
      <c r="J621" s="10">
        <v>896</v>
      </c>
      <c r="K621" s="104">
        <v>45118</v>
      </c>
      <c r="L621" s="104">
        <v>45132</v>
      </c>
      <c r="M621" s="10" t="b">
        <v>0</v>
      </c>
      <c r="N621" s="10">
        <v>15</v>
      </c>
      <c r="O621" s="11">
        <v>1265</v>
      </c>
      <c r="P621" s="85">
        <v>1.4118303571428572</v>
      </c>
      <c r="Q621" s="11">
        <v>1265</v>
      </c>
      <c r="R621" s="85">
        <v>1.4118303571428572</v>
      </c>
      <c r="S621" s="29" t="s">
        <v>1998</v>
      </c>
      <c r="T621" s="29" t="s">
        <v>1998</v>
      </c>
    </row>
    <row r="622">
      <c r="B622" s="29" t="s">
        <v>1220</v>
      </c>
      <c r="C622" s="29" t="s">
        <v>1246</v>
      </c>
      <c r="D622" s="8" t="s">
        <v>1280</v>
      </c>
      <c r="E622" s="10" t="s">
        <v>1937</v>
      </c>
      <c r="F622" s="10">
        <v>2</v>
      </c>
      <c r="G622" s="10">
        <v>2</v>
      </c>
      <c r="H622" s="10">
        <v>1</v>
      </c>
      <c r="I622" s="10"/>
      <c r="J622" s="10">
        <v>896</v>
      </c>
      <c r="K622" s="104">
        <v>45252</v>
      </c>
      <c r="L622" s="104">
        <v>45289</v>
      </c>
      <c r="M622" s="10" t="b">
        <v>0</v>
      </c>
      <c r="N622" s="10">
        <v>38</v>
      </c>
      <c r="O622" s="11">
        <v>1315</v>
      </c>
      <c r="P622" s="85">
        <v>1.4676339285714286</v>
      </c>
      <c r="Q622" s="11">
        <v>1252</v>
      </c>
      <c r="R622" s="85">
        <v>1.3973214285714286</v>
      </c>
      <c r="S622" s="29" t="s">
        <v>1998</v>
      </c>
      <c r="T622" s="29" t="s">
        <v>1998</v>
      </c>
    </row>
    <row r="623">
      <c r="B623" s="29" t="s">
        <v>1220</v>
      </c>
      <c r="C623" s="29" t="s">
        <v>1246</v>
      </c>
      <c r="D623" s="8" t="s">
        <v>1280</v>
      </c>
      <c r="E623" s="10" t="s">
        <v>1938</v>
      </c>
      <c r="F623" s="10">
        <v>3</v>
      </c>
      <c r="G623" s="10">
        <v>2</v>
      </c>
      <c r="H623" s="10">
        <v>1</v>
      </c>
      <c r="I623" s="10"/>
      <c r="J623" s="10">
        <v>896</v>
      </c>
      <c r="K623" s="104">
        <v>45232</v>
      </c>
      <c r="L623" s="104">
        <v>45280</v>
      </c>
      <c r="M623" s="10" t="b">
        <v>0</v>
      </c>
      <c r="N623" s="10">
        <v>49</v>
      </c>
      <c r="O623" s="11">
        <v>1315</v>
      </c>
      <c r="P623" s="85">
        <v>1.4676339285714286</v>
      </c>
      <c r="Q623" s="11">
        <v>1252</v>
      </c>
      <c r="R623" s="85">
        <v>1.3973214285714286</v>
      </c>
      <c r="S623" s="29" t="s">
        <v>1998</v>
      </c>
      <c r="T623" s="29" t="s">
        <v>1998</v>
      </c>
    </row>
    <row r="624">
      <c r="B624" s="29" t="s">
        <v>1220</v>
      </c>
      <c r="C624" s="29" t="s">
        <v>1246</v>
      </c>
      <c r="D624" s="8" t="s">
        <v>1280</v>
      </c>
      <c r="E624" s="10" t="s">
        <v>1939</v>
      </c>
      <c r="F624" s="10">
        <v>3</v>
      </c>
      <c r="G624" s="10">
        <v>2</v>
      </c>
      <c r="H624" s="10">
        <v>1</v>
      </c>
      <c r="I624" s="10"/>
      <c r="J624" s="10">
        <v>896</v>
      </c>
      <c r="K624" s="104">
        <v>45241</v>
      </c>
      <c r="L624" s="104">
        <v>45252</v>
      </c>
      <c r="M624" s="10" t="b">
        <v>0</v>
      </c>
      <c r="N624" s="10">
        <v>12</v>
      </c>
      <c r="O624" s="11">
        <v>1315</v>
      </c>
      <c r="P624" s="85">
        <v>1.4676339285714286</v>
      </c>
      <c r="Q624" s="11">
        <v>1252</v>
      </c>
      <c r="R624" s="85">
        <v>1.3973214285714286</v>
      </c>
      <c r="S624" s="29" t="s">
        <v>1998</v>
      </c>
      <c r="T624" s="29" t="s">
        <v>1998</v>
      </c>
    </row>
    <row r="625">
      <c r="B625" s="29" t="s">
        <v>1220</v>
      </c>
      <c r="C625" s="29" t="s">
        <v>1246</v>
      </c>
      <c r="D625" s="8" t="s">
        <v>1280</v>
      </c>
      <c r="E625" s="10" t="s">
        <v>1940</v>
      </c>
      <c r="F625" s="10">
        <v>3</v>
      </c>
      <c r="G625" s="10">
        <v>2</v>
      </c>
      <c r="H625" s="10">
        <v>1</v>
      </c>
      <c r="I625" s="10"/>
      <c r="J625" s="10">
        <v>896</v>
      </c>
      <c r="K625" s="104">
        <v>45178</v>
      </c>
      <c r="L625" s="104">
        <v>45189</v>
      </c>
      <c r="M625" s="10" t="b">
        <v>0</v>
      </c>
      <c r="N625" s="10">
        <v>12</v>
      </c>
      <c r="O625" s="11">
        <v>1315</v>
      </c>
      <c r="P625" s="85">
        <v>1.4676339285714286</v>
      </c>
      <c r="Q625" s="11">
        <v>1315</v>
      </c>
      <c r="R625" s="85">
        <v>1.4676339285714286</v>
      </c>
      <c r="S625" s="29" t="s">
        <v>1998</v>
      </c>
      <c r="T625" s="29" t="s">
        <v>1998</v>
      </c>
    </row>
    <row r="626">
      <c r="B626" s="29" t="s">
        <v>1220</v>
      </c>
      <c r="C626" s="29" t="s">
        <v>1246</v>
      </c>
      <c r="D626" s="8" t="s">
        <v>1280</v>
      </c>
      <c r="E626" s="10" t="s">
        <v>1941</v>
      </c>
      <c r="F626" s="10">
        <v>2</v>
      </c>
      <c r="G626" s="10">
        <v>2</v>
      </c>
      <c r="H626" s="10">
        <v>1</v>
      </c>
      <c r="I626" s="10"/>
      <c r="J626" s="10">
        <v>896</v>
      </c>
      <c r="K626" s="104">
        <v>45100</v>
      </c>
      <c r="L626" s="104">
        <v>45106</v>
      </c>
      <c r="M626" s="10" t="b">
        <v>0</v>
      </c>
      <c r="N626" s="10">
        <v>7</v>
      </c>
      <c r="O626" s="11">
        <v>1325</v>
      </c>
      <c r="P626" s="85">
        <v>1.4787946428571428</v>
      </c>
      <c r="Q626" s="11">
        <v>1325</v>
      </c>
      <c r="R626" s="85">
        <v>1.4787946428571428</v>
      </c>
      <c r="S626" s="29" t="s">
        <v>1998</v>
      </c>
      <c r="T626" s="29" t="s">
        <v>1998</v>
      </c>
    </row>
    <row r="627">
      <c r="B627" s="29" t="s">
        <v>1220</v>
      </c>
      <c r="C627" s="29" t="s">
        <v>1246</v>
      </c>
      <c r="D627" s="8" t="s">
        <v>1280</v>
      </c>
      <c r="E627" s="10" t="s">
        <v>1942</v>
      </c>
      <c r="F627" s="10">
        <v>3</v>
      </c>
      <c r="G627" s="10">
        <v>2</v>
      </c>
      <c r="H627" s="10">
        <v>1</v>
      </c>
      <c r="I627" s="10"/>
      <c r="J627" s="10">
        <v>896</v>
      </c>
      <c r="K627" s="104">
        <v>45358</v>
      </c>
      <c r="L627" s="104">
        <v>45401</v>
      </c>
      <c r="M627" s="10" t="b">
        <v>0</v>
      </c>
      <c r="N627" s="10">
        <v>44</v>
      </c>
      <c r="O627" s="11">
        <v>1345</v>
      </c>
      <c r="P627" s="85">
        <v>1.5011160714285714</v>
      </c>
      <c r="Q627" s="11">
        <v>1345</v>
      </c>
      <c r="R627" s="85">
        <v>1.5011160714285714</v>
      </c>
      <c r="S627" s="29" t="s">
        <v>1998</v>
      </c>
      <c r="T627" s="29" t="s">
        <v>1998</v>
      </c>
    </row>
    <row r="628">
      <c r="B628" s="29" t="s">
        <v>1220</v>
      </c>
      <c r="C628" s="29" t="s">
        <v>1246</v>
      </c>
      <c r="D628" s="8" t="s">
        <v>1280</v>
      </c>
      <c r="E628" s="10" t="s">
        <v>1943</v>
      </c>
      <c r="F628" s="10">
        <v>3</v>
      </c>
      <c r="G628" s="10">
        <v>2</v>
      </c>
      <c r="H628" s="10">
        <v>1</v>
      </c>
      <c r="I628" s="10"/>
      <c r="J628" s="10">
        <v>896</v>
      </c>
      <c r="K628" s="104">
        <v>45392</v>
      </c>
      <c r="L628" s="104">
        <v>45401</v>
      </c>
      <c r="M628" s="10" t="b">
        <v>0</v>
      </c>
      <c r="N628" s="10">
        <v>10</v>
      </c>
      <c r="O628" s="11">
        <v>1345</v>
      </c>
      <c r="P628" s="85">
        <v>1.5011160714285714</v>
      </c>
      <c r="Q628" s="11">
        <v>1345</v>
      </c>
      <c r="R628" s="85">
        <v>1.5011160714285714</v>
      </c>
      <c r="S628" s="29" t="s">
        <v>1998</v>
      </c>
      <c r="T628" s="29" t="s">
        <v>1998</v>
      </c>
    </row>
    <row r="629">
      <c r="B629" s="29" t="s">
        <v>1220</v>
      </c>
      <c r="C629" s="29" t="s">
        <v>1246</v>
      </c>
      <c r="D629" s="8" t="s">
        <v>1280</v>
      </c>
      <c r="E629" s="10" t="s">
        <v>1944</v>
      </c>
      <c r="F629" s="10">
        <v>2</v>
      </c>
      <c r="G629" s="10">
        <v>2</v>
      </c>
      <c r="H629" s="10">
        <v>1</v>
      </c>
      <c r="I629" s="10"/>
      <c r="J629" s="10">
        <v>896</v>
      </c>
      <c r="K629" s="104">
        <v>45353</v>
      </c>
      <c r="L629" s="104">
        <v>45380</v>
      </c>
      <c r="M629" s="10" t="b">
        <v>0</v>
      </c>
      <c r="N629" s="10">
        <v>28</v>
      </c>
      <c r="O629" s="11">
        <v>1345</v>
      </c>
      <c r="P629" s="85">
        <v>1.5011160714285714</v>
      </c>
      <c r="Q629" s="11">
        <v>1345</v>
      </c>
      <c r="R629" s="85">
        <v>1.5011160714285714</v>
      </c>
      <c r="S629" s="29" t="s">
        <v>1998</v>
      </c>
      <c r="T629" s="29" t="s">
        <v>1998</v>
      </c>
    </row>
    <row r="630">
      <c r="B630" s="29" t="s">
        <v>1220</v>
      </c>
      <c r="C630" s="29" t="s">
        <v>1246</v>
      </c>
      <c r="D630" s="8" t="s">
        <v>1280</v>
      </c>
      <c r="E630" s="10" t="s">
        <v>1945</v>
      </c>
      <c r="F630" s="10">
        <v>3</v>
      </c>
      <c r="G630" s="10">
        <v>2</v>
      </c>
      <c r="H630" s="10">
        <v>1</v>
      </c>
      <c r="I630" s="10"/>
      <c r="J630" s="10">
        <v>896</v>
      </c>
      <c r="K630" s="104">
        <v>45350</v>
      </c>
      <c r="L630" s="104">
        <v>45386</v>
      </c>
      <c r="M630" s="10" t="b">
        <v>0</v>
      </c>
      <c r="N630" s="10">
        <v>37</v>
      </c>
      <c r="O630" s="11">
        <v>1345</v>
      </c>
      <c r="P630" s="85">
        <v>1.5011160714285714</v>
      </c>
      <c r="Q630" s="11">
        <v>1345</v>
      </c>
      <c r="R630" s="85">
        <v>1.5011160714285714</v>
      </c>
      <c r="S630" s="29" t="s">
        <v>1998</v>
      </c>
      <c r="T630" s="29" t="s">
        <v>1998</v>
      </c>
    </row>
    <row r="631">
      <c r="B631" s="29" t="s">
        <v>1220</v>
      </c>
      <c r="C631" s="29" t="s">
        <v>1246</v>
      </c>
      <c r="D631" s="8" t="s">
        <v>1280</v>
      </c>
      <c r="E631" s="10" t="s">
        <v>1946</v>
      </c>
      <c r="F631" s="10">
        <v>1</v>
      </c>
      <c r="G631" s="10">
        <v>2</v>
      </c>
      <c r="H631" s="10">
        <v>1</v>
      </c>
      <c r="I631" s="10"/>
      <c r="J631" s="10">
        <v>896</v>
      </c>
      <c r="K631" s="104">
        <v>45333</v>
      </c>
      <c r="L631" s="104">
        <v>45387</v>
      </c>
      <c r="M631" s="10" t="b">
        <v>0</v>
      </c>
      <c r="N631" s="10">
        <v>55</v>
      </c>
      <c r="O631" s="11">
        <v>1345</v>
      </c>
      <c r="P631" s="85">
        <v>1.5011160714285714</v>
      </c>
      <c r="Q631" s="11">
        <v>1345</v>
      </c>
      <c r="R631" s="85">
        <v>1.5011160714285714</v>
      </c>
      <c r="S631" s="29" t="s">
        <v>1998</v>
      </c>
      <c r="T631" s="29" t="s">
        <v>1998</v>
      </c>
    </row>
    <row r="632">
      <c r="B632" s="29" t="s">
        <v>1220</v>
      </c>
      <c r="C632" s="29" t="s">
        <v>1246</v>
      </c>
      <c r="D632" s="8" t="s">
        <v>1280</v>
      </c>
      <c r="E632" s="10" t="s">
        <v>1947</v>
      </c>
      <c r="F632" s="10">
        <v>3</v>
      </c>
      <c r="G632" s="10">
        <v>2</v>
      </c>
      <c r="H632" s="10">
        <v>1</v>
      </c>
      <c r="I632" s="10"/>
      <c r="J632" s="10">
        <v>896</v>
      </c>
      <c r="K632" s="104">
        <v>45401</v>
      </c>
      <c r="L632" s="104">
        <v>45440</v>
      </c>
      <c r="M632" s="10" t="b">
        <v>0</v>
      </c>
      <c r="N632" s="10">
        <v>40</v>
      </c>
      <c r="O632" s="11">
        <v>1350</v>
      </c>
      <c r="P632" s="85">
        <v>1.5066964285714286</v>
      </c>
      <c r="Q632" s="11">
        <v>1350</v>
      </c>
      <c r="R632" s="85">
        <v>1.5066964285714286</v>
      </c>
      <c r="S632" s="29" t="s">
        <v>1998</v>
      </c>
      <c r="T632" s="29" t="s">
        <v>1998</v>
      </c>
    </row>
    <row r="633">
      <c r="B633" s="29" t="s">
        <v>1220</v>
      </c>
      <c r="C633" s="29" t="s">
        <v>1246</v>
      </c>
      <c r="D633" s="8" t="s">
        <v>1280</v>
      </c>
      <c r="E633" s="10" t="s">
        <v>1948</v>
      </c>
      <c r="F633" s="10">
        <v>3</v>
      </c>
      <c r="G633" s="10">
        <v>2</v>
      </c>
      <c r="H633" s="10">
        <v>1</v>
      </c>
      <c r="I633" s="10"/>
      <c r="J633" s="10">
        <v>896</v>
      </c>
      <c r="K633" s="104">
        <v>45410</v>
      </c>
      <c r="L633" s="104">
        <v>45450</v>
      </c>
      <c r="M633" s="10" t="b">
        <v>0</v>
      </c>
      <c r="N633" s="10">
        <v>41</v>
      </c>
      <c r="O633" s="11">
        <v>1350</v>
      </c>
      <c r="P633" s="85">
        <v>1.5066964285714286</v>
      </c>
      <c r="Q633" s="11">
        <v>1350</v>
      </c>
      <c r="R633" s="85">
        <v>1.5066964285714286</v>
      </c>
      <c r="S633" s="29" t="s">
        <v>1998</v>
      </c>
      <c r="T633" s="29" t="s">
        <v>1998</v>
      </c>
    </row>
    <row r="634">
      <c r="B634" s="29" t="s">
        <v>1220</v>
      </c>
      <c r="C634" s="29" t="s">
        <v>1246</v>
      </c>
      <c r="D634" s="8" t="s">
        <v>1280</v>
      </c>
      <c r="E634" s="10" t="s">
        <v>1949</v>
      </c>
      <c r="F634" s="10">
        <v>3</v>
      </c>
      <c r="G634" s="10">
        <v>2</v>
      </c>
      <c r="H634" s="10">
        <v>1</v>
      </c>
      <c r="I634" s="10"/>
      <c r="J634" s="10">
        <v>896</v>
      </c>
      <c r="K634" s="104">
        <v>45416</v>
      </c>
      <c r="L634" s="104">
        <v>45447</v>
      </c>
      <c r="M634" s="10" t="b">
        <v>0</v>
      </c>
      <c r="N634" s="10">
        <v>32</v>
      </c>
      <c r="O634" s="11">
        <v>1350</v>
      </c>
      <c r="P634" s="85">
        <v>1.5066964285714286</v>
      </c>
      <c r="Q634" s="11">
        <v>1350</v>
      </c>
      <c r="R634" s="85">
        <v>1.5066964285714286</v>
      </c>
      <c r="S634" s="29" t="s">
        <v>1998</v>
      </c>
      <c r="T634" s="29" t="s">
        <v>1998</v>
      </c>
    </row>
    <row r="635">
      <c r="B635" s="29" t="s">
        <v>1220</v>
      </c>
      <c r="C635" s="29" t="s">
        <v>1246</v>
      </c>
      <c r="D635" s="8" t="s">
        <v>1280</v>
      </c>
      <c r="E635" s="10" t="s">
        <v>1950</v>
      </c>
      <c r="F635" s="10">
        <v>3</v>
      </c>
      <c r="G635" s="10">
        <v>2</v>
      </c>
      <c r="H635" s="10">
        <v>1</v>
      </c>
      <c r="I635" s="10"/>
      <c r="J635" s="10">
        <v>896</v>
      </c>
      <c r="K635" s="104">
        <v>45330</v>
      </c>
      <c r="L635" s="104">
        <v>45426</v>
      </c>
      <c r="M635" s="10" t="b">
        <v>0</v>
      </c>
      <c r="N635" s="10">
        <v>97</v>
      </c>
      <c r="O635" s="11">
        <v>1350</v>
      </c>
      <c r="P635" s="85">
        <v>1.5066964285714286</v>
      </c>
      <c r="Q635" s="11">
        <v>1350</v>
      </c>
      <c r="R635" s="85">
        <v>1.5066964285714286</v>
      </c>
      <c r="S635" s="29" t="s">
        <v>1998</v>
      </c>
      <c r="T635" s="29" t="s">
        <v>1998</v>
      </c>
    </row>
    <row r="636">
      <c r="B636" s="29" t="s">
        <v>1220</v>
      </c>
      <c r="C636" s="29" t="s">
        <v>1246</v>
      </c>
      <c r="D636" s="8" t="s">
        <v>1280</v>
      </c>
      <c r="E636" s="10" t="s">
        <v>1951</v>
      </c>
      <c r="F636" s="10">
        <v>1</v>
      </c>
      <c r="G636" s="10">
        <v>2</v>
      </c>
      <c r="H636" s="10">
        <v>1</v>
      </c>
      <c r="I636" s="10"/>
      <c r="J636" s="10">
        <v>896</v>
      </c>
      <c r="K636" s="104">
        <v>45475</v>
      </c>
      <c r="L636" s="104">
        <v>45545</v>
      </c>
      <c r="M636" s="10" t="b">
        <v>0</v>
      </c>
      <c r="N636" s="10">
        <v>71</v>
      </c>
      <c r="O636" s="11">
        <v>1370</v>
      </c>
      <c r="P636" s="85">
        <v>1.5290178571428572</v>
      </c>
      <c r="Q636" s="11">
        <v>1370</v>
      </c>
      <c r="R636" s="85">
        <v>1.5290178571428572</v>
      </c>
      <c r="S636" s="29" t="s">
        <v>1998</v>
      </c>
      <c r="T636" s="29" t="s">
        <v>1998</v>
      </c>
    </row>
    <row r="637">
      <c r="B637" s="29" t="s">
        <v>1220</v>
      </c>
      <c r="C637" s="29" t="s">
        <v>1246</v>
      </c>
      <c r="D637" s="8" t="s">
        <v>1280</v>
      </c>
      <c r="E637" s="10" t="s">
        <v>1952</v>
      </c>
      <c r="F637" s="10">
        <v>2</v>
      </c>
      <c r="G637" s="10">
        <v>2</v>
      </c>
      <c r="H637" s="10">
        <v>1</v>
      </c>
      <c r="I637" s="10"/>
      <c r="J637" s="10">
        <v>896</v>
      </c>
      <c r="K637" s="104">
        <v>45509</v>
      </c>
      <c r="L637" s="104">
        <v>45539</v>
      </c>
      <c r="M637" s="10" t="b">
        <v>0</v>
      </c>
      <c r="N637" s="10">
        <v>31</v>
      </c>
      <c r="O637" s="11">
        <v>1370</v>
      </c>
      <c r="P637" s="85">
        <v>1.5290178571428572</v>
      </c>
      <c r="Q637" s="11">
        <v>1370</v>
      </c>
      <c r="R637" s="85">
        <v>1.5290178571428572</v>
      </c>
      <c r="S637" s="29" t="s">
        <v>1998</v>
      </c>
      <c r="T637" s="29" t="s">
        <v>1998</v>
      </c>
    </row>
    <row r="638">
      <c r="B638" s="29" t="s">
        <v>1220</v>
      </c>
      <c r="C638" s="29" t="s">
        <v>1246</v>
      </c>
      <c r="D638" s="8" t="s">
        <v>1280</v>
      </c>
      <c r="E638" s="10" t="s">
        <v>1953</v>
      </c>
      <c r="F638" s="10">
        <v>2</v>
      </c>
      <c r="G638" s="10">
        <v>2</v>
      </c>
      <c r="H638" s="10">
        <v>1</v>
      </c>
      <c r="I638" s="10"/>
      <c r="J638" s="10">
        <v>896</v>
      </c>
      <c r="K638" s="104">
        <v>45681</v>
      </c>
      <c r="L638" s="104">
        <v>45700</v>
      </c>
      <c r="M638" s="10" t="b">
        <v>0</v>
      </c>
      <c r="N638" s="10">
        <v>20</v>
      </c>
      <c r="O638" s="11">
        <v>1395</v>
      </c>
      <c r="P638" s="85">
        <v>1.5569196428571428</v>
      </c>
      <c r="Q638" s="11">
        <v>1395</v>
      </c>
      <c r="R638" s="85">
        <v>1.5569196428571428</v>
      </c>
      <c r="S638" s="29" t="s">
        <v>1998</v>
      </c>
      <c r="T638" s="29" t="s">
        <v>1998</v>
      </c>
    </row>
    <row r="639">
      <c r="B639" s="29" t="s">
        <v>1220</v>
      </c>
      <c r="C639" s="29" t="s">
        <v>1246</v>
      </c>
      <c r="D639" s="8" t="s">
        <v>1280</v>
      </c>
      <c r="E639" s="10" t="s">
        <v>1954</v>
      </c>
      <c r="F639" s="10">
        <v>1</v>
      </c>
      <c r="G639" s="10">
        <v>2</v>
      </c>
      <c r="H639" s="10">
        <v>1</v>
      </c>
      <c r="I639" s="10"/>
      <c r="J639" s="10">
        <v>896</v>
      </c>
      <c r="K639" s="104">
        <v>45631</v>
      </c>
      <c r="L639" s="104">
        <v>45687</v>
      </c>
      <c r="M639" s="10" t="b">
        <v>0</v>
      </c>
      <c r="N639" s="10">
        <v>57</v>
      </c>
      <c r="O639" s="11">
        <v>1395</v>
      </c>
      <c r="P639" s="85">
        <v>1.5569196428571428</v>
      </c>
      <c r="Q639" s="11">
        <v>1395</v>
      </c>
      <c r="R639" s="85">
        <v>1.5569196428571428</v>
      </c>
      <c r="S639" s="29" t="s">
        <v>1998</v>
      </c>
      <c r="T639" s="29" t="s">
        <v>1998</v>
      </c>
    </row>
    <row r="640">
      <c r="B640" s="29" t="s">
        <v>1220</v>
      </c>
      <c r="C640" s="29" t="s">
        <v>1246</v>
      </c>
      <c r="D640" s="8" t="s">
        <v>1279</v>
      </c>
      <c r="E640" s="10" t="s">
        <v>1955</v>
      </c>
      <c r="F640" s="10">
        <v>2</v>
      </c>
      <c r="G640" s="10">
        <v>2</v>
      </c>
      <c r="H640" s="10">
        <v>1</v>
      </c>
      <c r="I640" s="10"/>
      <c r="J640" s="10">
        <v>896</v>
      </c>
      <c r="K640" s="104">
        <v>45170</v>
      </c>
      <c r="L640" s="104">
        <v>45297</v>
      </c>
      <c r="M640" s="10" t="b">
        <v>0</v>
      </c>
      <c r="N640" s="10">
        <v>128</v>
      </c>
      <c r="O640" s="11">
        <v>1395</v>
      </c>
      <c r="P640" s="85">
        <v>1.5569196428571428</v>
      </c>
      <c r="Q640" s="11">
        <v>1395</v>
      </c>
      <c r="R640" s="85">
        <v>1.5569196428571428</v>
      </c>
      <c r="S640" s="29" t="s">
        <v>1998</v>
      </c>
      <c r="T640" s="29" t="s">
        <v>2033</v>
      </c>
    </row>
    <row r="641">
      <c r="B641" s="29" t="s">
        <v>1220</v>
      </c>
      <c r="C641" s="29" t="s">
        <v>1246</v>
      </c>
      <c r="D641" s="8" t="s">
        <v>1281</v>
      </c>
      <c r="E641" s="10" t="s">
        <v>1956</v>
      </c>
      <c r="F641" s="10">
        <v>2</v>
      </c>
      <c r="G641" s="10">
        <v>2</v>
      </c>
      <c r="H641" s="10">
        <v>1</v>
      </c>
      <c r="I641" s="10"/>
      <c r="J641" s="10">
        <v>896</v>
      </c>
      <c r="K641" s="104">
        <v>45325</v>
      </c>
      <c r="L641" s="104">
        <v>45337</v>
      </c>
      <c r="M641" s="10" t="b">
        <v>0</v>
      </c>
      <c r="N641" s="10">
        <v>13</v>
      </c>
      <c r="O641" s="11">
        <v>1395</v>
      </c>
      <c r="P641" s="85">
        <v>1.5569196428571428</v>
      </c>
      <c r="Q641" s="11">
        <v>1395</v>
      </c>
      <c r="R641" s="85">
        <v>1.5569196428571428</v>
      </c>
      <c r="S641" s="29" t="s">
        <v>1998</v>
      </c>
      <c r="T641" s="29" t="s">
        <v>1998</v>
      </c>
    </row>
    <row r="642">
      <c r="B642" s="29" t="s">
        <v>1220</v>
      </c>
      <c r="C642" s="29" t="s">
        <v>1246</v>
      </c>
      <c r="D642" s="8" t="s">
        <v>1280</v>
      </c>
      <c r="E642" s="10" t="s">
        <v>1957</v>
      </c>
      <c r="F642" s="10">
        <v>3</v>
      </c>
      <c r="G642" s="10">
        <v>2</v>
      </c>
      <c r="H642" s="10">
        <v>1</v>
      </c>
      <c r="I642" s="10"/>
      <c r="J642" s="10">
        <v>896</v>
      </c>
      <c r="K642" s="104">
        <v>45722</v>
      </c>
      <c r="L642" s="104"/>
      <c r="M642" s="10" t="b">
        <v>1</v>
      </c>
      <c r="N642" s="10"/>
      <c r="O642" s="11">
        <v>1400</v>
      </c>
      <c r="P642" s="85">
        <v>1.5625</v>
      </c>
      <c r="Q642" s="11">
        <v>1400</v>
      </c>
      <c r="R642" s="85">
        <v>1.5625</v>
      </c>
      <c r="S642" s="29" t="s">
        <v>1998</v>
      </c>
      <c r="T642" s="29" t="s">
        <v>1998</v>
      </c>
    </row>
    <row r="643">
      <c r="B643" s="29" t="s">
        <v>1220</v>
      </c>
      <c r="C643" s="29" t="s">
        <v>1246</v>
      </c>
      <c r="D643" s="8" t="s">
        <v>1280</v>
      </c>
      <c r="E643" s="10" t="s">
        <v>1958</v>
      </c>
      <c r="F643" s="10">
        <v>1</v>
      </c>
      <c r="G643" s="10">
        <v>2</v>
      </c>
      <c r="H643" s="10">
        <v>1</v>
      </c>
      <c r="I643" s="10"/>
      <c r="J643" s="10">
        <v>896</v>
      </c>
      <c r="K643" s="104">
        <v>45735</v>
      </c>
      <c r="L643" s="104"/>
      <c r="M643" s="10" t="b">
        <v>1</v>
      </c>
      <c r="N643" s="10"/>
      <c r="O643" s="11">
        <v>1400</v>
      </c>
      <c r="P643" s="85">
        <v>1.5625</v>
      </c>
      <c r="Q643" s="11">
        <v>1400</v>
      </c>
      <c r="R643" s="85">
        <v>1.5625</v>
      </c>
      <c r="S643" s="29" t="s">
        <v>1998</v>
      </c>
      <c r="T643" s="29" t="s">
        <v>1998</v>
      </c>
    </row>
    <row r="644">
      <c r="B644" s="29" t="s">
        <v>1220</v>
      </c>
      <c r="C644" s="29" t="s">
        <v>1246</v>
      </c>
      <c r="D644" s="8" t="s">
        <v>1280</v>
      </c>
      <c r="E644" s="10" t="s">
        <v>1959</v>
      </c>
      <c r="F644" s="10">
        <v>2</v>
      </c>
      <c r="G644" s="10">
        <v>2</v>
      </c>
      <c r="H644" s="10">
        <v>1</v>
      </c>
      <c r="I644" s="10"/>
      <c r="J644" s="10">
        <v>896</v>
      </c>
      <c r="K644" s="104">
        <v>45779</v>
      </c>
      <c r="L644" s="104"/>
      <c r="M644" s="10" t="b">
        <v>1</v>
      </c>
      <c r="N644" s="10"/>
      <c r="O644" s="11">
        <v>1400</v>
      </c>
      <c r="P644" s="85">
        <v>1.5625</v>
      </c>
      <c r="Q644" s="11">
        <v>1400</v>
      </c>
      <c r="R644" s="85">
        <v>1.5625</v>
      </c>
      <c r="S644" s="29" t="s">
        <v>1998</v>
      </c>
      <c r="T644" s="29" t="s">
        <v>1998</v>
      </c>
    </row>
    <row r="645">
      <c r="B645" s="29" t="s">
        <v>1220</v>
      </c>
      <c r="C645" s="29" t="s">
        <v>1246</v>
      </c>
      <c r="D645" s="8" t="s">
        <v>1280</v>
      </c>
      <c r="E645" s="10" t="s">
        <v>1960</v>
      </c>
      <c r="F645" s="10">
        <v>1</v>
      </c>
      <c r="G645" s="10">
        <v>2</v>
      </c>
      <c r="H645" s="10">
        <v>1</v>
      </c>
      <c r="I645" s="10"/>
      <c r="J645" s="10">
        <v>896</v>
      </c>
      <c r="K645" s="104">
        <v>45779</v>
      </c>
      <c r="L645" s="104"/>
      <c r="M645" s="10" t="b">
        <v>1</v>
      </c>
      <c r="N645" s="10"/>
      <c r="O645" s="11">
        <v>1400</v>
      </c>
      <c r="P645" s="85">
        <v>1.5625</v>
      </c>
      <c r="Q645" s="11">
        <v>1400</v>
      </c>
      <c r="R645" s="85">
        <v>1.5625</v>
      </c>
      <c r="S645" s="29" t="s">
        <v>1998</v>
      </c>
      <c r="T645" s="29" t="s">
        <v>1998</v>
      </c>
    </row>
    <row r="646">
      <c r="B646" s="29" t="s">
        <v>1220</v>
      </c>
      <c r="C646" s="29" t="s">
        <v>1246</v>
      </c>
      <c r="D646" s="8" t="s">
        <v>1280</v>
      </c>
      <c r="E646" s="10" t="s">
        <v>1961</v>
      </c>
      <c r="F646" s="10">
        <v>2</v>
      </c>
      <c r="G646" s="10">
        <v>2</v>
      </c>
      <c r="H646" s="10">
        <v>1</v>
      </c>
      <c r="I646" s="10"/>
      <c r="J646" s="10">
        <v>896</v>
      </c>
      <c r="K646" s="104">
        <v>45727</v>
      </c>
      <c r="L646" s="104"/>
      <c r="M646" s="10" t="b">
        <v>1</v>
      </c>
      <c r="N646" s="10"/>
      <c r="O646" s="11">
        <v>1400</v>
      </c>
      <c r="P646" s="85">
        <v>1.5625</v>
      </c>
      <c r="Q646" s="11">
        <v>1400</v>
      </c>
      <c r="R646" s="85">
        <v>1.5625</v>
      </c>
      <c r="S646" s="29" t="s">
        <v>1998</v>
      </c>
      <c r="T646" s="29" t="s">
        <v>1998</v>
      </c>
    </row>
    <row r="647">
      <c r="B647" s="29" t="s">
        <v>1220</v>
      </c>
      <c r="C647" s="29" t="s">
        <v>1246</v>
      </c>
      <c r="D647" s="8" t="s">
        <v>1280</v>
      </c>
      <c r="E647" s="10" t="s">
        <v>1962</v>
      </c>
      <c r="F647" s="10">
        <v>2</v>
      </c>
      <c r="G647" s="10">
        <v>2</v>
      </c>
      <c r="H647" s="10">
        <v>1</v>
      </c>
      <c r="I647" s="10"/>
      <c r="J647" s="10">
        <v>896</v>
      </c>
      <c r="K647" s="104">
        <v>45671</v>
      </c>
      <c r="L647" s="104">
        <v>45748</v>
      </c>
      <c r="M647" s="10" t="b">
        <v>0</v>
      </c>
      <c r="N647" s="10">
        <v>78</v>
      </c>
      <c r="O647" s="11">
        <v>1400</v>
      </c>
      <c r="P647" s="85">
        <v>1.5625</v>
      </c>
      <c r="Q647" s="11">
        <v>1400</v>
      </c>
      <c r="R647" s="85">
        <v>1.5625</v>
      </c>
      <c r="S647" s="29" t="s">
        <v>1998</v>
      </c>
      <c r="T647" s="29" t="s">
        <v>1998</v>
      </c>
    </row>
    <row r="648">
      <c r="B648" s="29" t="s">
        <v>1220</v>
      </c>
      <c r="C648" s="29" t="s">
        <v>1246</v>
      </c>
      <c r="D648" s="8" t="s">
        <v>1280</v>
      </c>
      <c r="E648" s="10" t="s">
        <v>1963</v>
      </c>
      <c r="F648" s="10">
        <v>3</v>
      </c>
      <c r="G648" s="10">
        <v>2</v>
      </c>
      <c r="H648" s="10">
        <v>1</v>
      </c>
      <c r="I648" s="10"/>
      <c r="J648" s="10">
        <v>896</v>
      </c>
      <c r="K648" s="104">
        <v>45685</v>
      </c>
      <c r="L648" s="104">
        <v>45707</v>
      </c>
      <c r="M648" s="10" t="b">
        <v>0</v>
      </c>
      <c r="N648" s="10">
        <v>23</v>
      </c>
      <c r="O648" s="11">
        <v>1425</v>
      </c>
      <c r="P648" s="85">
        <v>1.5904017857142858</v>
      </c>
      <c r="Q648" s="11">
        <v>1395</v>
      </c>
      <c r="R648" s="85">
        <v>1.5569196428571428</v>
      </c>
      <c r="S648" s="29" t="s">
        <v>1998</v>
      </c>
      <c r="T648" s="29" t="s">
        <v>1998</v>
      </c>
    </row>
    <row r="649">
      <c r="B649" s="29" t="s">
        <v>1220</v>
      </c>
      <c r="C649" s="29" t="s">
        <v>1246</v>
      </c>
      <c r="D649" s="8" t="s">
        <v>1280</v>
      </c>
      <c r="E649" s="10" t="s">
        <v>1964</v>
      </c>
      <c r="F649" s="10">
        <v>2</v>
      </c>
      <c r="G649" s="10">
        <v>2</v>
      </c>
      <c r="H649" s="10">
        <v>1</v>
      </c>
      <c r="I649" s="10"/>
      <c r="J649" s="10">
        <v>896</v>
      </c>
      <c r="K649" s="104">
        <v>45573</v>
      </c>
      <c r="L649" s="104">
        <v>45609</v>
      </c>
      <c r="M649" s="10" t="b">
        <v>0</v>
      </c>
      <c r="N649" s="10">
        <v>37</v>
      </c>
      <c r="O649" s="11">
        <v>1425</v>
      </c>
      <c r="P649" s="85">
        <v>1.5904017857142858</v>
      </c>
      <c r="Q649" s="11">
        <v>1425</v>
      </c>
      <c r="R649" s="85">
        <v>1.5904017857142858</v>
      </c>
      <c r="S649" s="29" t="s">
        <v>1998</v>
      </c>
      <c r="T649" s="29" t="s">
        <v>1998</v>
      </c>
    </row>
    <row r="650">
      <c r="B650" s="29" t="s">
        <v>1220</v>
      </c>
      <c r="C650" s="29" t="s">
        <v>1246</v>
      </c>
      <c r="D650" s="8" t="s">
        <v>1280</v>
      </c>
      <c r="E650" s="10" t="s">
        <v>1965</v>
      </c>
      <c r="F650" s="10">
        <v>2</v>
      </c>
      <c r="G650" s="10">
        <v>2</v>
      </c>
      <c r="H650" s="10">
        <v>1</v>
      </c>
      <c r="I650" s="10"/>
      <c r="J650" s="10">
        <v>896</v>
      </c>
      <c r="K650" s="104">
        <v>45558</v>
      </c>
      <c r="L650" s="104">
        <v>45580</v>
      </c>
      <c r="M650" s="10" t="b">
        <v>0</v>
      </c>
      <c r="N650" s="10">
        <v>23</v>
      </c>
      <c r="O650" s="11">
        <v>1425</v>
      </c>
      <c r="P650" s="85">
        <v>1.5904017857142858</v>
      </c>
      <c r="Q650" s="11">
        <v>1425</v>
      </c>
      <c r="R650" s="85">
        <v>1.5904017857142858</v>
      </c>
      <c r="S650" s="29" t="s">
        <v>1998</v>
      </c>
      <c r="T650" s="29" t="s">
        <v>1998</v>
      </c>
    </row>
    <row r="651">
      <c r="B651" s="29" t="s">
        <v>1220</v>
      </c>
      <c r="C651" s="29" t="s">
        <v>1246</v>
      </c>
      <c r="D651" s="8" t="s">
        <v>1281</v>
      </c>
      <c r="E651" s="10" t="s">
        <v>1966</v>
      </c>
      <c r="F651" s="10">
        <v>3</v>
      </c>
      <c r="G651" s="10">
        <v>2</v>
      </c>
      <c r="H651" s="10">
        <v>1</v>
      </c>
      <c r="I651" s="10"/>
      <c r="J651" s="10">
        <v>896</v>
      </c>
      <c r="K651" s="104"/>
      <c r="L651" s="104">
        <v>45121</v>
      </c>
      <c r="M651" s="10" t="b">
        <v>0</v>
      </c>
      <c r="N651" s="10"/>
      <c r="O651" s="11">
        <v>1450</v>
      </c>
      <c r="P651" s="85">
        <v>1.6183035714285714</v>
      </c>
      <c r="Q651" s="11">
        <v>1450</v>
      </c>
      <c r="R651" s="85">
        <v>1.6183035714285714</v>
      </c>
      <c r="S651" s="29" t="s">
        <v>1998</v>
      </c>
      <c r="T651" s="29" t="s">
        <v>1998</v>
      </c>
    </row>
    <row r="652">
      <c r="B652" s="29" t="s">
        <v>1220</v>
      </c>
      <c r="C652" s="29" t="s">
        <v>1246</v>
      </c>
      <c r="D652" s="8" t="s">
        <v>1281</v>
      </c>
      <c r="E652" s="10" t="s">
        <v>1967</v>
      </c>
      <c r="F652" s="10">
        <v>2</v>
      </c>
      <c r="G652" s="10">
        <v>2</v>
      </c>
      <c r="H652" s="10">
        <v>1</v>
      </c>
      <c r="I652" s="10"/>
      <c r="J652" s="10">
        <v>896</v>
      </c>
      <c r="K652" s="104">
        <v>45509</v>
      </c>
      <c r="L652" s="104">
        <v>45525</v>
      </c>
      <c r="M652" s="10" t="b">
        <v>0</v>
      </c>
      <c r="N652" s="10">
        <v>17</v>
      </c>
      <c r="O652" s="11">
        <v>1475</v>
      </c>
      <c r="P652" s="85">
        <v>1.6462053571428572</v>
      </c>
      <c r="Q652" s="11">
        <v>1475</v>
      </c>
      <c r="R652" s="85">
        <v>1.6462053571428572</v>
      </c>
      <c r="S652" s="29" t="s">
        <v>1998</v>
      </c>
      <c r="T652" s="29" t="s">
        <v>1998</v>
      </c>
    </row>
    <row r="653">
      <c r="B653" s="29" t="s">
        <v>1220</v>
      </c>
      <c r="C653" s="29" t="s">
        <v>1246</v>
      </c>
      <c r="D653" s="8" t="s">
        <v>1279</v>
      </c>
      <c r="E653" s="10" t="s">
        <v>1968</v>
      </c>
      <c r="F653" s="10">
        <v>2</v>
      </c>
      <c r="G653" s="10">
        <v>2</v>
      </c>
      <c r="H653" s="10">
        <v>1</v>
      </c>
      <c r="I653" s="10"/>
      <c r="J653" s="10">
        <v>896</v>
      </c>
      <c r="K653" s="104">
        <v>45309</v>
      </c>
      <c r="L653" s="104">
        <v>45351</v>
      </c>
      <c r="M653" s="10" t="b">
        <v>0</v>
      </c>
      <c r="N653" s="10">
        <v>43</v>
      </c>
      <c r="O653" s="11">
        <v>1495</v>
      </c>
      <c r="P653" s="85">
        <v>1.6685267857142858</v>
      </c>
      <c r="Q653" s="11">
        <v>1495</v>
      </c>
      <c r="R653" s="85">
        <v>1.6685267857142858</v>
      </c>
      <c r="S653" s="29" t="s">
        <v>1998</v>
      </c>
      <c r="T653" s="29" t="s">
        <v>2033</v>
      </c>
    </row>
    <row r="654">
      <c r="B654" s="29" t="s">
        <v>1220</v>
      </c>
      <c r="C654" s="29" t="s">
        <v>1246</v>
      </c>
      <c r="D654" s="8" t="s">
        <v>1279</v>
      </c>
      <c r="E654" s="10" t="s">
        <v>1969</v>
      </c>
      <c r="F654" s="10">
        <v>3</v>
      </c>
      <c r="G654" s="10">
        <v>2</v>
      </c>
      <c r="H654" s="10">
        <v>1</v>
      </c>
      <c r="I654" s="10"/>
      <c r="J654" s="10">
        <v>896</v>
      </c>
      <c r="K654" s="104">
        <v>45374</v>
      </c>
      <c r="L654" s="104">
        <v>45387</v>
      </c>
      <c r="M654" s="10" t="b">
        <v>0</v>
      </c>
      <c r="N654" s="10">
        <v>14</v>
      </c>
      <c r="O654" s="11">
        <v>1495</v>
      </c>
      <c r="P654" s="85">
        <v>1.6685267857142858</v>
      </c>
      <c r="Q654" s="11">
        <v>1495</v>
      </c>
      <c r="R654" s="85">
        <v>1.6685267857142858</v>
      </c>
      <c r="S654" s="29" t="s">
        <v>1998</v>
      </c>
      <c r="T654" s="29" t="s">
        <v>2033</v>
      </c>
    </row>
    <row r="655">
      <c r="B655" s="29" t="s">
        <v>1220</v>
      </c>
      <c r="C655" s="29" t="s">
        <v>1246</v>
      </c>
      <c r="D655" s="8" t="s">
        <v>1281</v>
      </c>
      <c r="E655" s="10" t="s">
        <v>1970</v>
      </c>
      <c r="F655" s="10">
        <v>3</v>
      </c>
      <c r="G655" s="10">
        <v>2</v>
      </c>
      <c r="H655" s="10">
        <v>1</v>
      </c>
      <c r="I655" s="10"/>
      <c r="J655" s="10">
        <v>896</v>
      </c>
      <c r="K655" s="104">
        <v>45495</v>
      </c>
      <c r="L655" s="104">
        <v>45743</v>
      </c>
      <c r="M655" s="10" t="b">
        <v>0</v>
      </c>
      <c r="N655" s="10">
        <v>249</v>
      </c>
      <c r="O655" s="11">
        <v>1525</v>
      </c>
      <c r="P655" s="85">
        <v>1.7020089285714286</v>
      </c>
      <c r="Q655" s="11">
        <v>1525</v>
      </c>
      <c r="R655" s="85">
        <v>1.7020089285714286</v>
      </c>
      <c r="S655" s="29" t="s">
        <v>1998</v>
      </c>
      <c r="T655" s="29" t="s">
        <v>1998</v>
      </c>
    </row>
    <row r="656">
      <c r="B656" s="29" t="s">
        <v>1220</v>
      </c>
      <c r="C656" s="29" t="s">
        <v>1246</v>
      </c>
      <c r="D656" s="8" t="s">
        <v>1279</v>
      </c>
      <c r="E656" s="10" t="s">
        <v>1971</v>
      </c>
      <c r="F656" s="10">
        <v>1</v>
      </c>
      <c r="G656" s="10">
        <v>2</v>
      </c>
      <c r="H656" s="10">
        <v>1</v>
      </c>
      <c r="I656" s="10"/>
      <c r="J656" s="10">
        <v>896</v>
      </c>
      <c r="K656" s="104">
        <v>45509</v>
      </c>
      <c r="L656" s="104">
        <v>45510</v>
      </c>
      <c r="M656" s="10" t="b">
        <v>0</v>
      </c>
      <c r="N656" s="10">
        <v>2</v>
      </c>
      <c r="O656" s="11">
        <v>1545</v>
      </c>
      <c r="P656" s="85">
        <v>1.7243303571428572</v>
      </c>
      <c r="Q656" s="11">
        <v>1545</v>
      </c>
      <c r="R656" s="85">
        <v>1.7243303571428572</v>
      </c>
      <c r="S656" s="29" t="s">
        <v>1998</v>
      </c>
      <c r="T656" s="29" t="s">
        <v>2033</v>
      </c>
    </row>
    <row r="657">
      <c r="B657" s="29" t="s">
        <v>1220</v>
      </c>
      <c r="C657" s="29" t="s">
        <v>1246</v>
      </c>
      <c r="D657" s="8" t="s">
        <v>1279</v>
      </c>
      <c r="E657" s="10" t="s">
        <v>1972</v>
      </c>
      <c r="F657" s="10">
        <v>3</v>
      </c>
      <c r="G657" s="10">
        <v>2</v>
      </c>
      <c r="H657" s="10">
        <v>1</v>
      </c>
      <c r="I657" s="10"/>
      <c r="J657" s="10">
        <v>896</v>
      </c>
      <c r="K657" s="104">
        <v>45170</v>
      </c>
      <c r="L657" s="104">
        <v>45231</v>
      </c>
      <c r="M657" s="10" t="b">
        <v>0</v>
      </c>
      <c r="N657" s="10">
        <v>62</v>
      </c>
      <c r="O657" s="11">
        <v>1545</v>
      </c>
      <c r="P657" s="85">
        <v>1.7243303571428572</v>
      </c>
      <c r="Q657" s="11">
        <v>1545</v>
      </c>
      <c r="R657" s="85">
        <v>1.7243303571428572</v>
      </c>
      <c r="S657" s="29" t="s">
        <v>1998</v>
      </c>
      <c r="T657" s="29" t="s">
        <v>2033</v>
      </c>
    </row>
    <row r="658">
      <c r="B658" s="29" t="s">
        <v>1220</v>
      </c>
      <c r="C658" s="29" t="s">
        <v>1246</v>
      </c>
      <c r="D658" s="8" t="s">
        <v>1279</v>
      </c>
      <c r="E658" s="10" t="s">
        <v>1973</v>
      </c>
      <c r="F658" s="10">
        <v>1</v>
      </c>
      <c r="G658" s="10">
        <v>2</v>
      </c>
      <c r="H658" s="10">
        <v>1</v>
      </c>
      <c r="I658" s="10"/>
      <c r="J658" s="10">
        <v>896</v>
      </c>
      <c r="K658" s="104">
        <v>45465</v>
      </c>
      <c r="L658" s="104">
        <v>45527</v>
      </c>
      <c r="M658" s="10" t="b">
        <v>0</v>
      </c>
      <c r="N658" s="10">
        <v>63</v>
      </c>
      <c r="O658" s="11">
        <v>1545</v>
      </c>
      <c r="P658" s="85">
        <v>1.7243303571428572</v>
      </c>
      <c r="Q658" s="11">
        <v>1545</v>
      </c>
      <c r="R658" s="85">
        <v>1.7243303571428572</v>
      </c>
      <c r="S658" s="29" t="s">
        <v>1998</v>
      </c>
      <c r="T658" s="29" t="s">
        <v>2033</v>
      </c>
    </row>
    <row r="659">
      <c r="B659" s="29" t="s">
        <v>1220</v>
      </c>
      <c r="C659" s="29" t="s">
        <v>1246</v>
      </c>
      <c r="D659" s="8" t="s">
        <v>1279</v>
      </c>
      <c r="E659" s="10" t="s">
        <v>1974</v>
      </c>
      <c r="F659" s="10">
        <v>2</v>
      </c>
      <c r="G659" s="10">
        <v>2</v>
      </c>
      <c r="H659" s="10">
        <v>1</v>
      </c>
      <c r="I659" s="10"/>
      <c r="J659" s="10">
        <v>896</v>
      </c>
      <c r="K659" s="104">
        <v>45680</v>
      </c>
      <c r="L659" s="104">
        <v>45685</v>
      </c>
      <c r="M659" s="10" t="b">
        <v>0</v>
      </c>
      <c r="N659" s="10">
        <v>6</v>
      </c>
      <c r="O659" s="11">
        <v>1575</v>
      </c>
      <c r="P659" s="85">
        <v>1.7578125</v>
      </c>
      <c r="Q659" s="11">
        <v>1575</v>
      </c>
      <c r="R659" s="85">
        <v>1.7578125</v>
      </c>
      <c r="S659" s="29" t="s">
        <v>1998</v>
      </c>
      <c r="T659" s="29" t="s">
        <v>2033</v>
      </c>
    </row>
    <row r="660">
      <c r="B660" s="29" t="s">
        <v>1220</v>
      </c>
      <c r="C660" s="29" t="s">
        <v>1246</v>
      </c>
      <c r="D660" s="8" t="s">
        <v>1279</v>
      </c>
      <c r="E660" s="10" t="s">
        <v>1975</v>
      </c>
      <c r="F660" s="10">
        <v>2</v>
      </c>
      <c r="G660" s="10">
        <v>2</v>
      </c>
      <c r="H660" s="10">
        <v>1</v>
      </c>
      <c r="I660" s="10"/>
      <c r="J660" s="10">
        <v>896</v>
      </c>
      <c r="K660" s="104">
        <v>45582</v>
      </c>
      <c r="L660" s="104">
        <v>45691</v>
      </c>
      <c r="M660" s="10" t="b">
        <v>0</v>
      </c>
      <c r="N660" s="10">
        <v>110</v>
      </c>
      <c r="O660" s="11">
        <v>1575</v>
      </c>
      <c r="P660" s="85">
        <v>1.7578125</v>
      </c>
      <c r="Q660" s="11">
        <v>1575</v>
      </c>
      <c r="R660" s="85">
        <v>1.7578125</v>
      </c>
      <c r="S660" s="29" t="s">
        <v>1998</v>
      </c>
      <c r="T660" s="29" t="s">
        <v>2033</v>
      </c>
    </row>
    <row r="661">
      <c r="B661" s="29" t="s">
        <v>1220</v>
      </c>
      <c r="C661" s="29" t="s">
        <v>1246</v>
      </c>
      <c r="D661" s="8" t="s">
        <v>1279</v>
      </c>
      <c r="E661" s="10" t="s">
        <v>1976</v>
      </c>
      <c r="F661" s="10">
        <v>3</v>
      </c>
      <c r="G661" s="10">
        <v>2</v>
      </c>
      <c r="H661" s="10">
        <v>1</v>
      </c>
      <c r="I661" s="10"/>
      <c r="J661" s="10">
        <v>896</v>
      </c>
      <c r="K661" s="104">
        <v>45733</v>
      </c>
      <c r="L661" s="104"/>
      <c r="M661" s="10" t="b">
        <v>1</v>
      </c>
      <c r="N661" s="10"/>
      <c r="O661" s="11">
        <v>1580</v>
      </c>
      <c r="P661" s="85">
        <v>1.7633928571428572</v>
      </c>
      <c r="Q661" s="11">
        <v>1580</v>
      </c>
      <c r="R661" s="85">
        <v>1.7633928571428572</v>
      </c>
      <c r="S661" s="29" t="s">
        <v>1998</v>
      </c>
      <c r="T661" s="29" t="s">
        <v>2033</v>
      </c>
    </row>
    <row r="662">
      <c r="B662" s="29" t="s">
        <v>1220</v>
      </c>
      <c r="C662" s="29" t="s">
        <v>1246</v>
      </c>
      <c r="D662" s="8" t="s">
        <v>1279</v>
      </c>
      <c r="E662" s="10" t="s">
        <v>1977</v>
      </c>
      <c r="F662" s="10">
        <v>2</v>
      </c>
      <c r="G662" s="10">
        <v>2</v>
      </c>
      <c r="H662" s="10">
        <v>1</v>
      </c>
      <c r="I662" s="10"/>
      <c r="J662" s="10">
        <v>896</v>
      </c>
      <c r="K662" s="104">
        <v>45572</v>
      </c>
      <c r="L662" s="104">
        <v>45645</v>
      </c>
      <c r="M662" s="10" t="b">
        <v>0</v>
      </c>
      <c r="N662" s="10">
        <v>74</v>
      </c>
      <c r="O662" s="11">
        <v>1595</v>
      </c>
      <c r="P662" s="85">
        <v>1.7801339285714286</v>
      </c>
      <c r="Q662" s="11">
        <v>1595</v>
      </c>
      <c r="R662" s="85">
        <v>1.7801339285714286</v>
      </c>
      <c r="S662" s="29" t="s">
        <v>1998</v>
      </c>
      <c r="T662" s="29" t="s">
        <v>2033</v>
      </c>
    </row>
    <row r="663">
      <c r="B663" s="29" t="s">
        <v>1220</v>
      </c>
      <c r="C663" s="29" t="s">
        <v>1246</v>
      </c>
      <c r="D663" s="8" t="s">
        <v>1279</v>
      </c>
      <c r="E663" s="10" t="s">
        <v>1978</v>
      </c>
      <c r="F663" s="10">
        <v>3</v>
      </c>
      <c r="G663" s="10">
        <v>2</v>
      </c>
      <c r="H663" s="10">
        <v>1</v>
      </c>
      <c r="I663" s="10"/>
      <c r="J663" s="10">
        <v>896</v>
      </c>
      <c r="K663" s="104">
        <v>45697</v>
      </c>
      <c r="L663" s="104">
        <v>45722</v>
      </c>
      <c r="M663" s="10" t="b">
        <v>0</v>
      </c>
      <c r="N663" s="10">
        <v>26</v>
      </c>
      <c r="O663" s="11">
        <v>1605</v>
      </c>
      <c r="P663" s="85">
        <v>1.7912946428571428</v>
      </c>
      <c r="Q663" s="11">
        <v>1605</v>
      </c>
      <c r="R663" s="85">
        <v>1.7912946428571428</v>
      </c>
      <c r="S663" s="29" t="s">
        <v>1998</v>
      </c>
      <c r="T663" s="29" t="s">
        <v>2033</v>
      </c>
    </row>
    <row r="664">
      <c r="B664" s="29" t="s">
        <v>1220</v>
      </c>
      <c r="C664" s="29" t="s">
        <v>1246</v>
      </c>
      <c r="D664" s="8" t="s">
        <v>1279</v>
      </c>
      <c r="E664" s="10" t="s">
        <v>1979</v>
      </c>
      <c r="F664" s="10">
        <v>1</v>
      </c>
      <c r="G664" s="10">
        <v>2</v>
      </c>
      <c r="H664" s="10">
        <v>1</v>
      </c>
      <c r="I664" s="10"/>
      <c r="J664" s="10">
        <v>896</v>
      </c>
      <c r="K664" s="104">
        <v>45515</v>
      </c>
      <c r="L664" s="104">
        <v>45708</v>
      </c>
      <c r="M664" s="10" t="b">
        <v>0</v>
      </c>
      <c r="N664" s="10">
        <v>194</v>
      </c>
      <c r="O664" s="11">
        <v>1605</v>
      </c>
      <c r="P664" s="85">
        <v>1.7912946428571428</v>
      </c>
      <c r="Q664" s="11">
        <v>1605</v>
      </c>
      <c r="R664" s="85">
        <v>1.7912946428571428</v>
      </c>
      <c r="S664" s="29" t="s">
        <v>1998</v>
      </c>
      <c r="T664" s="29" t="s">
        <v>2033</v>
      </c>
    </row>
    <row r="665">
      <c r="B665" s="29" t="s">
        <v>1221</v>
      </c>
      <c r="C665" s="29" t="s">
        <v>1247</v>
      </c>
      <c r="D665" s="8" t="s">
        <v>1282</v>
      </c>
      <c r="E665" s="10"/>
      <c r="F665" s="10"/>
      <c r="G665" s="10">
        <v>0</v>
      </c>
      <c r="H665" s="10">
        <v>1</v>
      </c>
      <c r="I665" s="10"/>
      <c r="J665" s="10">
        <v>425</v>
      </c>
      <c r="K665" s="104">
        <v>45336</v>
      </c>
      <c r="L665" s="104">
        <v>45339</v>
      </c>
      <c r="M665" s="10" t="b">
        <v>0</v>
      </c>
      <c r="N665" s="10">
        <v>4</v>
      </c>
      <c r="O665" s="11">
        <v>775</v>
      </c>
      <c r="P665" s="85">
        <v>1.8235294117647058</v>
      </c>
      <c r="Q665" s="11">
        <v>775</v>
      </c>
      <c r="R665" s="85">
        <v>1.8235294117647058</v>
      </c>
      <c r="S665" s="29" t="s">
        <v>1998</v>
      </c>
      <c r="T665" s="29" t="s">
        <v>1998</v>
      </c>
    </row>
    <row r="666">
      <c r="B666" s="29" t="s">
        <v>1221</v>
      </c>
      <c r="C666" s="29" t="s">
        <v>1247</v>
      </c>
      <c r="D666" s="8" t="s">
        <v>1283</v>
      </c>
      <c r="E666" s="10"/>
      <c r="F666" s="10"/>
      <c r="G666" s="10">
        <v>0</v>
      </c>
      <c r="H666" s="10">
        <v>1</v>
      </c>
      <c r="I666" s="10"/>
      <c r="J666" s="10">
        <v>425</v>
      </c>
      <c r="K666" s="104">
        <v>45318</v>
      </c>
      <c r="L666" s="104">
        <v>45336</v>
      </c>
      <c r="M666" s="10" t="b">
        <v>0</v>
      </c>
      <c r="N666" s="10">
        <v>19</v>
      </c>
      <c r="O666" s="11">
        <v>775</v>
      </c>
      <c r="P666" s="85">
        <v>1.8235294117647058</v>
      </c>
      <c r="Q666" s="11">
        <v>775</v>
      </c>
      <c r="R666" s="85">
        <v>1.8235294117647058</v>
      </c>
      <c r="S666" s="29" t="s">
        <v>1998</v>
      </c>
      <c r="T666" s="29" t="s">
        <v>1998</v>
      </c>
    </row>
    <row r="667">
      <c r="B667" s="29" t="s">
        <v>1221</v>
      </c>
      <c r="C667" s="29" t="s">
        <v>1247</v>
      </c>
      <c r="D667" s="8" t="s">
        <v>1284</v>
      </c>
      <c r="E667" s="10"/>
      <c r="F667" s="10"/>
      <c r="G667" s="10">
        <v>0</v>
      </c>
      <c r="H667" s="10">
        <v>1</v>
      </c>
      <c r="I667" s="10"/>
      <c r="J667" s="10">
        <v>425</v>
      </c>
      <c r="K667" s="104">
        <v>45251</v>
      </c>
      <c r="L667" s="104">
        <v>45294</v>
      </c>
      <c r="M667" s="10" t="b">
        <v>0</v>
      </c>
      <c r="N667" s="10">
        <v>44</v>
      </c>
      <c r="O667" s="11">
        <v>775</v>
      </c>
      <c r="P667" s="85">
        <v>1.8235294117647058</v>
      </c>
      <c r="Q667" s="11">
        <v>775</v>
      </c>
      <c r="R667" s="85">
        <v>1.8235294117647058</v>
      </c>
      <c r="S667" s="29" t="s">
        <v>1998</v>
      </c>
      <c r="T667" s="29" t="s">
        <v>1998</v>
      </c>
    </row>
    <row r="668">
      <c r="B668" s="29" t="s">
        <v>1221</v>
      </c>
      <c r="C668" s="29" t="s">
        <v>1247</v>
      </c>
      <c r="D668" s="8" t="s">
        <v>1285</v>
      </c>
      <c r="E668" s="10"/>
      <c r="F668" s="10"/>
      <c r="G668" s="10">
        <v>0</v>
      </c>
      <c r="H668" s="10">
        <v>1</v>
      </c>
      <c r="I668" s="10"/>
      <c r="J668" s="10">
        <v>425</v>
      </c>
      <c r="K668" s="104">
        <v>45336</v>
      </c>
      <c r="L668" s="104">
        <v>45339</v>
      </c>
      <c r="M668" s="10" t="b">
        <v>0</v>
      </c>
      <c r="N668" s="10">
        <v>4</v>
      </c>
      <c r="O668" s="11">
        <v>775</v>
      </c>
      <c r="P668" s="85">
        <v>1.8235294117647058</v>
      </c>
      <c r="Q668" s="11">
        <v>775</v>
      </c>
      <c r="R668" s="85">
        <v>1.8235294117647058</v>
      </c>
      <c r="S668" s="29" t="s">
        <v>1998</v>
      </c>
      <c r="T668" s="29" t="s">
        <v>1998</v>
      </c>
    </row>
    <row r="669">
      <c r="B669" s="29" t="s">
        <v>1221</v>
      </c>
      <c r="C669" s="29" t="s">
        <v>1247</v>
      </c>
      <c r="D669" s="8" t="s">
        <v>1286</v>
      </c>
      <c r="E669" s="10"/>
      <c r="F669" s="10"/>
      <c r="G669" s="10">
        <v>0</v>
      </c>
      <c r="H669" s="10">
        <v>1</v>
      </c>
      <c r="I669" s="10"/>
      <c r="J669" s="10">
        <v>425</v>
      </c>
      <c r="K669" s="104">
        <v>45295</v>
      </c>
      <c r="L669" s="104">
        <v>45336</v>
      </c>
      <c r="M669" s="10" t="b">
        <v>0</v>
      </c>
      <c r="N669" s="10">
        <v>42</v>
      </c>
      <c r="O669" s="11">
        <v>825</v>
      </c>
      <c r="P669" s="85">
        <v>1.9411764705882353</v>
      </c>
      <c r="Q669" s="11">
        <v>825</v>
      </c>
      <c r="R669" s="85">
        <v>1.9411764705882353</v>
      </c>
      <c r="S669" s="29" t="s">
        <v>1998</v>
      </c>
      <c r="T669" s="29" t="s">
        <v>1998</v>
      </c>
    </row>
    <row r="670">
      <c r="B670" s="29" t="s">
        <v>1221</v>
      </c>
      <c r="C670" s="29" t="s">
        <v>1247</v>
      </c>
      <c r="D670" s="8" t="s">
        <v>1287</v>
      </c>
      <c r="E670" s="10"/>
      <c r="F670" s="10"/>
      <c r="G670" s="10">
        <v>0</v>
      </c>
      <c r="H670" s="10">
        <v>1</v>
      </c>
      <c r="I670" s="10"/>
      <c r="J670" s="10">
        <v>425</v>
      </c>
      <c r="K670" s="104">
        <v>45336</v>
      </c>
      <c r="L670" s="104">
        <v>45339</v>
      </c>
      <c r="M670" s="10" t="b">
        <v>0</v>
      </c>
      <c r="N670" s="10">
        <v>4</v>
      </c>
      <c r="O670" s="11">
        <v>825</v>
      </c>
      <c r="P670" s="85">
        <v>1.9411764705882353</v>
      </c>
      <c r="Q670" s="11">
        <v>825</v>
      </c>
      <c r="R670" s="85">
        <v>1.9411764705882353</v>
      </c>
      <c r="S670" s="29" t="s">
        <v>1998</v>
      </c>
      <c r="T670" s="29" t="s">
        <v>1998</v>
      </c>
    </row>
    <row r="671">
      <c r="B671" s="29" t="s">
        <v>1221</v>
      </c>
      <c r="C671" s="29" t="s">
        <v>1247</v>
      </c>
      <c r="D671" s="8" t="s">
        <v>1288</v>
      </c>
      <c r="E671" s="10"/>
      <c r="F671" s="10"/>
      <c r="G671" s="10">
        <v>0</v>
      </c>
      <c r="H671" s="10">
        <v>1</v>
      </c>
      <c r="I671" s="10"/>
      <c r="J671" s="10">
        <v>425</v>
      </c>
      <c r="K671" s="104">
        <v>45251</v>
      </c>
      <c r="L671" s="104">
        <v>45294</v>
      </c>
      <c r="M671" s="10" t="b">
        <v>0</v>
      </c>
      <c r="N671" s="10">
        <v>44</v>
      </c>
      <c r="O671" s="11">
        <v>825</v>
      </c>
      <c r="P671" s="85">
        <v>1.9411764705882353</v>
      </c>
      <c r="Q671" s="11">
        <v>825</v>
      </c>
      <c r="R671" s="85">
        <v>1.9411764705882353</v>
      </c>
      <c r="S671" s="29" t="s">
        <v>1998</v>
      </c>
      <c r="T671" s="29" t="s">
        <v>1998</v>
      </c>
    </row>
    <row r="672">
      <c r="B672" s="29" t="s">
        <v>1221</v>
      </c>
      <c r="C672" s="29" t="s">
        <v>1247</v>
      </c>
      <c r="D672" s="8" t="s">
        <v>1289</v>
      </c>
      <c r="E672" s="10"/>
      <c r="F672" s="10"/>
      <c r="G672" s="10">
        <v>0</v>
      </c>
      <c r="H672" s="10">
        <v>1</v>
      </c>
      <c r="I672" s="10"/>
      <c r="J672" s="10">
        <v>425</v>
      </c>
      <c r="K672" s="104">
        <v>45251</v>
      </c>
      <c r="L672" s="104">
        <v>45336</v>
      </c>
      <c r="M672" s="10" t="b">
        <v>0</v>
      </c>
      <c r="N672" s="10">
        <v>86</v>
      </c>
      <c r="O672" s="11">
        <v>825</v>
      </c>
      <c r="P672" s="85">
        <v>1.9411764705882353</v>
      </c>
      <c r="Q672" s="11">
        <v>825</v>
      </c>
      <c r="R672" s="85">
        <v>1.9411764705882353</v>
      </c>
      <c r="S672" s="29" t="s">
        <v>1998</v>
      </c>
      <c r="T672" s="29" t="s">
        <v>1998</v>
      </c>
    </row>
    <row r="673">
      <c r="B673" s="29" t="s">
        <v>1221</v>
      </c>
      <c r="C673" s="29" t="s">
        <v>1247</v>
      </c>
      <c r="D673" s="8" t="s">
        <v>1290</v>
      </c>
      <c r="E673" s="10" t="s">
        <v>1980</v>
      </c>
      <c r="F673" s="10">
        <v>3</v>
      </c>
      <c r="G673" s="10">
        <v>0</v>
      </c>
      <c r="H673" s="10">
        <v>1</v>
      </c>
      <c r="I673" s="10"/>
      <c r="J673" s="10">
        <v>425</v>
      </c>
      <c r="K673" s="104">
        <v>45339</v>
      </c>
      <c r="L673" s="104">
        <v>45401</v>
      </c>
      <c r="M673" s="10" t="b">
        <v>0</v>
      </c>
      <c r="N673" s="10">
        <v>63</v>
      </c>
      <c r="O673" s="11">
        <v>899</v>
      </c>
      <c r="P673" s="85">
        <v>2.1152941176470588</v>
      </c>
      <c r="Q673" s="11">
        <v>899</v>
      </c>
      <c r="R673" s="85">
        <v>2.1152941176470588</v>
      </c>
      <c r="S673" s="29" t="s">
        <v>1998</v>
      </c>
      <c r="T673" s="29" t="s">
        <v>1998</v>
      </c>
    </row>
    <row r="674">
      <c r="B674" s="29" t="s">
        <v>1221</v>
      </c>
      <c r="C674" s="29" t="s">
        <v>1247</v>
      </c>
      <c r="D674" s="8" t="s">
        <v>1288</v>
      </c>
      <c r="E674" s="10" t="s">
        <v>1288</v>
      </c>
      <c r="F674" s="10"/>
      <c r="G674" s="10">
        <v>0</v>
      </c>
      <c r="H674" s="10">
        <v>1</v>
      </c>
      <c r="I674" s="10"/>
      <c r="J674" s="10">
        <v>425</v>
      </c>
      <c r="K674" s="104">
        <v>45239</v>
      </c>
      <c r="L674" s="104">
        <v>45339</v>
      </c>
      <c r="M674" s="10" t="b">
        <v>0</v>
      </c>
      <c r="N674" s="10">
        <v>101</v>
      </c>
      <c r="O674" s="11">
        <v>899</v>
      </c>
      <c r="P674" s="85">
        <v>2.1152941176470588</v>
      </c>
      <c r="Q674" s="11">
        <v>899</v>
      </c>
      <c r="R674" s="85">
        <v>2.1152941176470588</v>
      </c>
      <c r="S674" s="29" t="s">
        <v>1998</v>
      </c>
      <c r="T674" s="29" t="s">
        <v>1998</v>
      </c>
    </row>
    <row r="675">
      <c r="B675" s="29" t="s">
        <v>1221</v>
      </c>
      <c r="C675" s="29" t="s">
        <v>1247</v>
      </c>
      <c r="D675" s="8" t="s">
        <v>1283</v>
      </c>
      <c r="E675" s="10" t="s">
        <v>1283</v>
      </c>
      <c r="F675" s="10"/>
      <c r="G675" s="10">
        <v>0</v>
      </c>
      <c r="H675" s="10">
        <v>1</v>
      </c>
      <c r="I675" s="10"/>
      <c r="J675" s="10">
        <v>425</v>
      </c>
      <c r="K675" s="104">
        <v>45239</v>
      </c>
      <c r="L675" s="104">
        <v>45323</v>
      </c>
      <c r="M675" s="10" t="b">
        <v>0</v>
      </c>
      <c r="N675" s="10">
        <v>85</v>
      </c>
      <c r="O675" s="11">
        <v>899</v>
      </c>
      <c r="P675" s="85">
        <v>2.1152941176470588</v>
      </c>
      <c r="Q675" s="11">
        <v>899</v>
      </c>
      <c r="R675" s="85">
        <v>2.1152941176470588</v>
      </c>
      <c r="S675" s="29" t="s">
        <v>1998</v>
      </c>
      <c r="T675" s="29" t="s">
        <v>1998</v>
      </c>
    </row>
    <row r="676">
      <c r="B676" s="29" t="s">
        <v>1221</v>
      </c>
      <c r="C676" s="29" t="s">
        <v>1247</v>
      </c>
      <c r="D676" s="8" t="s">
        <v>1291</v>
      </c>
      <c r="E676" s="10"/>
      <c r="F676" s="10"/>
      <c r="G676" s="10">
        <v>0</v>
      </c>
      <c r="H676" s="10">
        <v>1</v>
      </c>
      <c r="I676" s="10"/>
      <c r="J676" s="10">
        <v>425</v>
      </c>
      <c r="K676" s="104">
        <v>45262</v>
      </c>
      <c r="L676" s="104">
        <v>45336</v>
      </c>
      <c r="M676" s="10" t="b">
        <v>0</v>
      </c>
      <c r="N676" s="10">
        <v>75</v>
      </c>
      <c r="O676" s="11">
        <v>900</v>
      </c>
      <c r="P676" s="85">
        <v>2.1176470588235294</v>
      </c>
      <c r="Q676" s="11">
        <v>900</v>
      </c>
      <c r="R676" s="85">
        <v>2.1176470588235294</v>
      </c>
      <c r="S676" s="29" t="s">
        <v>1998</v>
      </c>
      <c r="T676" s="29" t="s">
        <v>1998</v>
      </c>
    </row>
    <row r="677">
      <c r="B677" s="29" t="s">
        <v>1221</v>
      </c>
      <c r="C677" s="29" t="s">
        <v>1247</v>
      </c>
      <c r="D677" s="8" t="s">
        <v>1292</v>
      </c>
      <c r="E677" s="10"/>
      <c r="F677" s="10"/>
      <c r="G677" s="10">
        <v>0</v>
      </c>
      <c r="H677" s="10">
        <v>1</v>
      </c>
      <c r="I677" s="10"/>
      <c r="J677" s="10">
        <v>425</v>
      </c>
      <c r="K677" s="104">
        <v>45295</v>
      </c>
      <c r="L677" s="104">
        <v>45336</v>
      </c>
      <c r="M677" s="10" t="b">
        <v>0</v>
      </c>
      <c r="N677" s="10">
        <v>42</v>
      </c>
      <c r="O677" s="11">
        <v>900</v>
      </c>
      <c r="P677" s="85">
        <v>2.1176470588235294</v>
      </c>
      <c r="Q677" s="11">
        <v>900</v>
      </c>
      <c r="R677" s="85">
        <v>2.1176470588235294</v>
      </c>
      <c r="S677" s="29" t="s">
        <v>1998</v>
      </c>
      <c r="T677" s="29" t="s">
        <v>1998</v>
      </c>
    </row>
    <row r="678">
      <c r="B678" s="29" t="s">
        <v>1221</v>
      </c>
      <c r="C678" s="29" t="s">
        <v>1247</v>
      </c>
      <c r="D678" s="8" t="s">
        <v>1290</v>
      </c>
      <c r="E678" s="10" t="s">
        <v>1981</v>
      </c>
      <c r="F678" s="10">
        <v>3</v>
      </c>
      <c r="G678" s="10">
        <v>0</v>
      </c>
      <c r="H678" s="10">
        <v>1</v>
      </c>
      <c r="I678" s="10"/>
      <c r="J678" s="10">
        <v>425</v>
      </c>
      <c r="K678" s="104">
        <v>45339</v>
      </c>
      <c r="L678" s="104">
        <v>45511</v>
      </c>
      <c r="M678" s="10" t="b">
        <v>0</v>
      </c>
      <c r="N678" s="10">
        <v>173</v>
      </c>
      <c r="O678" s="11">
        <v>919</v>
      </c>
      <c r="P678" s="85">
        <v>2.1623529411764704</v>
      </c>
      <c r="Q678" s="11">
        <v>919</v>
      </c>
      <c r="R678" s="85">
        <v>2.1623529411764704</v>
      </c>
      <c r="S678" s="29" t="s">
        <v>1998</v>
      </c>
      <c r="T678" s="29" t="s">
        <v>1998</v>
      </c>
    </row>
    <row r="679">
      <c r="B679" s="29" t="s">
        <v>1221</v>
      </c>
      <c r="C679" s="29" t="s">
        <v>1247</v>
      </c>
      <c r="D679" s="8" t="s">
        <v>1288</v>
      </c>
      <c r="E679" s="10" t="s">
        <v>1285</v>
      </c>
      <c r="F679" s="10"/>
      <c r="G679" s="10">
        <v>0</v>
      </c>
      <c r="H679" s="10">
        <v>1</v>
      </c>
      <c r="I679" s="10"/>
      <c r="J679" s="10">
        <v>425</v>
      </c>
      <c r="K679" s="104">
        <v>45295</v>
      </c>
      <c r="L679" s="104">
        <v>45339</v>
      </c>
      <c r="M679" s="10" t="b">
        <v>0</v>
      </c>
      <c r="N679" s="10">
        <v>45</v>
      </c>
      <c r="O679" s="11">
        <v>919</v>
      </c>
      <c r="P679" s="85">
        <v>2.1623529411764704</v>
      </c>
      <c r="Q679" s="11">
        <v>919</v>
      </c>
      <c r="R679" s="85">
        <v>2.1623529411764704</v>
      </c>
      <c r="S679" s="29" t="s">
        <v>1998</v>
      </c>
      <c r="T679" s="29" t="s">
        <v>1998</v>
      </c>
    </row>
    <row r="680">
      <c r="B680" s="29" t="s">
        <v>1221</v>
      </c>
      <c r="C680" s="29" t="s">
        <v>1247</v>
      </c>
      <c r="D680" s="8" t="s">
        <v>1293</v>
      </c>
      <c r="E680" s="10" t="s">
        <v>1982</v>
      </c>
      <c r="F680" s="10">
        <v>4</v>
      </c>
      <c r="G680" s="10">
        <v>0</v>
      </c>
      <c r="H680" s="10">
        <v>1</v>
      </c>
      <c r="I680" s="10"/>
      <c r="J680" s="10"/>
      <c r="K680" s="104">
        <v>45633</v>
      </c>
      <c r="L680" s="104">
        <v>45770</v>
      </c>
      <c r="M680" s="10" t="b">
        <v>0</v>
      </c>
      <c r="N680" s="10">
        <v>138</v>
      </c>
      <c r="O680" s="11">
        <v>900</v>
      </c>
      <c r="P680" s="85"/>
      <c r="Q680" s="11">
        <v>900</v>
      </c>
      <c r="R680" s="85"/>
      <c r="S680" s="29" t="s">
        <v>1998</v>
      </c>
      <c r="T680" s="29" t="s">
        <v>1998</v>
      </c>
    </row>
    <row r="681">
      <c r="B681" s="29" t="s">
        <v>1221</v>
      </c>
      <c r="C681" s="29" t="s">
        <v>1247</v>
      </c>
      <c r="D681" s="8" t="s">
        <v>1293</v>
      </c>
      <c r="E681" s="10" t="s">
        <v>1983</v>
      </c>
      <c r="F681" s="10">
        <v>2</v>
      </c>
      <c r="G681" s="10">
        <v>0</v>
      </c>
      <c r="H681" s="10">
        <v>1</v>
      </c>
      <c r="I681" s="10"/>
      <c r="J681" s="10"/>
      <c r="K681" s="104">
        <v>45633</v>
      </c>
      <c r="L681" s="104">
        <v>45770</v>
      </c>
      <c r="M681" s="10" t="b">
        <v>0</v>
      </c>
      <c r="N681" s="10">
        <v>138</v>
      </c>
      <c r="O681" s="11">
        <v>900</v>
      </c>
      <c r="P681" s="85"/>
      <c r="Q681" s="11">
        <v>900</v>
      </c>
      <c r="R681" s="85"/>
      <c r="S681" s="29" t="s">
        <v>1998</v>
      </c>
      <c r="T681" s="29" t="s">
        <v>1998</v>
      </c>
    </row>
    <row r="682">
      <c r="B682" s="29" t="s">
        <v>1221</v>
      </c>
      <c r="C682" s="29" t="s">
        <v>1247</v>
      </c>
      <c r="D682" s="8" t="s">
        <v>1293</v>
      </c>
      <c r="E682" s="10" t="s">
        <v>1984</v>
      </c>
      <c r="F682" s="10">
        <v>3</v>
      </c>
      <c r="G682" s="10">
        <v>0</v>
      </c>
      <c r="H682" s="10">
        <v>1</v>
      </c>
      <c r="I682" s="10"/>
      <c r="J682" s="10"/>
      <c r="K682" s="104">
        <v>45632</v>
      </c>
      <c r="L682" s="104">
        <v>45770</v>
      </c>
      <c r="M682" s="10" t="b">
        <v>0</v>
      </c>
      <c r="N682" s="10">
        <v>139</v>
      </c>
      <c r="O682" s="11">
        <v>900</v>
      </c>
      <c r="P682" s="85"/>
      <c r="Q682" s="11">
        <v>900</v>
      </c>
      <c r="R682" s="85"/>
      <c r="S682" s="29" t="s">
        <v>1998</v>
      </c>
      <c r="T682" s="29" t="s">
        <v>1998</v>
      </c>
    </row>
    <row r="683">
      <c r="B683" s="29" t="s">
        <v>1221</v>
      </c>
      <c r="C683" s="29" t="s">
        <v>1247</v>
      </c>
      <c r="D683" s="8" t="s">
        <v>1294</v>
      </c>
      <c r="E683" s="10"/>
      <c r="F683" s="10"/>
      <c r="G683" s="10">
        <v>1</v>
      </c>
      <c r="H683" s="10">
        <v>1</v>
      </c>
      <c r="I683" s="10"/>
      <c r="J683" s="10">
        <v>493</v>
      </c>
      <c r="K683" s="104">
        <v>45336</v>
      </c>
      <c r="L683" s="104">
        <v>45339</v>
      </c>
      <c r="M683" s="10" t="b">
        <v>0</v>
      </c>
      <c r="N683" s="10">
        <v>4</v>
      </c>
      <c r="O683" s="11">
        <v>900</v>
      </c>
      <c r="P683" s="85">
        <v>1.8255578093306288</v>
      </c>
      <c r="Q683" s="11">
        <v>900</v>
      </c>
      <c r="R683" s="85">
        <v>1.8255578093306288</v>
      </c>
      <c r="S683" s="29" t="s">
        <v>1998</v>
      </c>
      <c r="T683" s="29" t="s">
        <v>1998</v>
      </c>
    </row>
    <row r="684">
      <c r="B684" s="29" t="s">
        <v>1221</v>
      </c>
      <c r="C684" s="29" t="s">
        <v>1247</v>
      </c>
      <c r="D684" s="8" t="s">
        <v>1295</v>
      </c>
      <c r="E684" s="10"/>
      <c r="F684" s="10"/>
      <c r="G684" s="10">
        <v>1</v>
      </c>
      <c r="H684" s="10">
        <v>1</v>
      </c>
      <c r="I684" s="10"/>
      <c r="J684" s="10">
        <v>493</v>
      </c>
      <c r="K684" s="104">
        <v>45239</v>
      </c>
      <c r="L684" s="104">
        <v>45339</v>
      </c>
      <c r="M684" s="10" t="b">
        <v>0</v>
      </c>
      <c r="N684" s="10">
        <v>101</v>
      </c>
      <c r="O684" s="11">
        <v>900</v>
      </c>
      <c r="P684" s="85">
        <v>1.8255578093306288</v>
      </c>
      <c r="Q684" s="11">
        <v>900</v>
      </c>
      <c r="R684" s="85">
        <v>1.8255578093306288</v>
      </c>
      <c r="S684" s="29" t="s">
        <v>1998</v>
      </c>
      <c r="T684" s="29" t="s">
        <v>1998</v>
      </c>
    </row>
    <row r="685">
      <c r="B685" s="29" t="s">
        <v>1221</v>
      </c>
      <c r="C685" s="29" t="s">
        <v>1247</v>
      </c>
      <c r="D685" s="8" t="s">
        <v>1296</v>
      </c>
      <c r="E685" s="10"/>
      <c r="F685" s="10"/>
      <c r="G685" s="10">
        <v>1</v>
      </c>
      <c r="H685" s="10">
        <v>1</v>
      </c>
      <c r="I685" s="10"/>
      <c r="J685" s="10">
        <v>493</v>
      </c>
      <c r="K685" s="104">
        <v>45239</v>
      </c>
      <c r="L685" s="104">
        <v>45294</v>
      </c>
      <c r="M685" s="10" t="b">
        <v>0</v>
      </c>
      <c r="N685" s="10">
        <v>56</v>
      </c>
      <c r="O685" s="11">
        <v>925</v>
      </c>
      <c r="P685" s="85">
        <v>1.8762677484787018</v>
      </c>
      <c r="Q685" s="11">
        <v>925</v>
      </c>
      <c r="R685" s="85">
        <v>1.8762677484787018</v>
      </c>
      <c r="S685" s="29" t="s">
        <v>1998</v>
      </c>
      <c r="T685" s="29" t="s">
        <v>1998</v>
      </c>
    </row>
    <row r="686">
      <c r="B686" s="29" t="s">
        <v>1221</v>
      </c>
      <c r="C686" s="29" t="s">
        <v>1247</v>
      </c>
      <c r="D686" s="8" t="s">
        <v>1297</v>
      </c>
      <c r="E686" s="10"/>
      <c r="F686" s="10"/>
      <c r="G686" s="10">
        <v>1</v>
      </c>
      <c r="H686" s="10">
        <v>1</v>
      </c>
      <c r="I686" s="10"/>
      <c r="J686" s="10">
        <v>493</v>
      </c>
      <c r="K686" s="104">
        <v>45295</v>
      </c>
      <c r="L686" s="104">
        <v>45318</v>
      </c>
      <c r="M686" s="10" t="b">
        <v>0</v>
      </c>
      <c r="N686" s="10">
        <v>24</v>
      </c>
      <c r="O686" s="11">
        <v>1030</v>
      </c>
      <c r="P686" s="85">
        <v>2.0892494929006085</v>
      </c>
      <c r="Q686" s="11">
        <v>1030</v>
      </c>
      <c r="R686" s="85">
        <v>2.0892494929006085</v>
      </c>
      <c r="S686" s="29" t="s">
        <v>1998</v>
      </c>
      <c r="T686" s="29" t="s">
        <v>1998</v>
      </c>
    </row>
    <row r="687">
      <c r="B687" s="29" t="s">
        <v>1221</v>
      </c>
      <c r="C687" s="29" t="s">
        <v>1247</v>
      </c>
      <c r="D687" s="8" t="s">
        <v>1298</v>
      </c>
      <c r="E687" s="10"/>
      <c r="F687" s="10"/>
      <c r="G687" s="10">
        <v>1</v>
      </c>
      <c r="H687" s="10">
        <v>1</v>
      </c>
      <c r="I687" s="10"/>
      <c r="J687" s="10">
        <v>493</v>
      </c>
      <c r="K687" s="104">
        <v>45295</v>
      </c>
      <c r="L687" s="104">
        <v>45318</v>
      </c>
      <c r="M687" s="10" t="b">
        <v>0</v>
      </c>
      <c r="N687" s="10">
        <v>24</v>
      </c>
      <c r="O687" s="11">
        <v>1030</v>
      </c>
      <c r="P687" s="85">
        <v>2.0892494929006085</v>
      </c>
      <c r="Q687" s="11">
        <v>1030</v>
      </c>
      <c r="R687" s="85">
        <v>2.0892494929006085</v>
      </c>
      <c r="S687" s="29" t="s">
        <v>1998</v>
      </c>
      <c r="T687" s="29" t="s">
        <v>1998</v>
      </c>
    </row>
    <row r="688">
      <c r="B688" s="29" t="s">
        <v>1221</v>
      </c>
      <c r="C688" s="29" t="s">
        <v>1247</v>
      </c>
      <c r="D688" s="8" t="s">
        <v>1299</v>
      </c>
      <c r="E688" s="10"/>
      <c r="F688" s="10"/>
      <c r="G688" s="10">
        <v>1</v>
      </c>
      <c r="H688" s="10">
        <v>1</v>
      </c>
      <c r="I688" s="10"/>
      <c r="J688" s="10">
        <v>493</v>
      </c>
      <c r="K688" s="104">
        <v>45239</v>
      </c>
      <c r="L688" s="104">
        <v>45294</v>
      </c>
      <c r="M688" s="10" t="b">
        <v>0</v>
      </c>
      <c r="N688" s="10">
        <v>56</v>
      </c>
      <c r="O688" s="11">
        <v>1050</v>
      </c>
      <c r="P688" s="85">
        <v>2.129817444219067</v>
      </c>
      <c r="Q688" s="11">
        <v>1050</v>
      </c>
      <c r="R688" s="85">
        <v>2.129817444219067</v>
      </c>
      <c r="S688" s="29" t="s">
        <v>1998</v>
      </c>
      <c r="T688" s="29" t="s">
        <v>1998</v>
      </c>
    </row>
    <row r="689">
      <c r="B689" s="29" t="s">
        <v>1221</v>
      </c>
      <c r="C689" s="29" t="s">
        <v>1247</v>
      </c>
      <c r="D689" s="8" t="s">
        <v>1300</v>
      </c>
      <c r="E689" s="10" t="s">
        <v>1300</v>
      </c>
      <c r="F689" s="10"/>
      <c r="G689" s="10">
        <v>1</v>
      </c>
      <c r="H689" s="10">
        <v>1</v>
      </c>
      <c r="I689" s="10"/>
      <c r="J689" s="10">
        <v>493</v>
      </c>
      <c r="K689" s="104">
        <v>45239</v>
      </c>
      <c r="L689" s="104">
        <v>45281</v>
      </c>
      <c r="M689" s="10" t="b">
        <v>0</v>
      </c>
      <c r="N689" s="10">
        <v>43</v>
      </c>
      <c r="O689" s="11">
        <v>1099</v>
      </c>
      <c r="P689" s="85">
        <v>2.22920892494929</v>
      </c>
      <c r="Q689" s="11">
        <v>1099</v>
      </c>
      <c r="R689" s="85">
        <v>2.22920892494929</v>
      </c>
      <c r="S689" s="29" t="s">
        <v>1998</v>
      </c>
      <c r="T689" s="29" t="s">
        <v>1998</v>
      </c>
    </row>
    <row r="690">
      <c r="B690" s="29" t="s">
        <v>1221</v>
      </c>
      <c r="C690" s="29" t="s">
        <v>1247</v>
      </c>
      <c r="D690" s="8" t="s">
        <v>1301</v>
      </c>
      <c r="E690" s="10" t="s">
        <v>1985</v>
      </c>
      <c r="F690" s="10">
        <v>1</v>
      </c>
      <c r="G690" s="10">
        <v>1</v>
      </c>
      <c r="H690" s="10">
        <v>1</v>
      </c>
      <c r="I690" s="10"/>
      <c r="J690" s="10">
        <v>496</v>
      </c>
      <c r="K690" s="104">
        <v>45339</v>
      </c>
      <c r="L690" s="104">
        <v>45511</v>
      </c>
      <c r="M690" s="10" t="b">
        <v>0</v>
      </c>
      <c r="N690" s="10">
        <v>173</v>
      </c>
      <c r="O690" s="11">
        <v>1119</v>
      </c>
      <c r="P690" s="85">
        <v>2.256048387096774</v>
      </c>
      <c r="Q690" s="11">
        <v>1119</v>
      </c>
      <c r="R690" s="85">
        <v>2.256048387096774</v>
      </c>
      <c r="S690" s="29" t="s">
        <v>1998</v>
      </c>
      <c r="T690" s="29" t="s">
        <v>1998</v>
      </c>
    </row>
    <row r="691">
      <c r="B691" s="29" t="s">
        <v>1221</v>
      </c>
      <c r="C691" s="29" t="s">
        <v>1247</v>
      </c>
      <c r="D691" s="8" t="s">
        <v>1297</v>
      </c>
      <c r="E691" s="10" t="s">
        <v>1297</v>
      </c>
      <c r="F691" s="10"/>
      <c r="G691" s="10">
        <v>1</v>
      </c>
      <c r="H691" s="10">
        <v>1</v>
      </c>
      <c r="I691" s="10"/>
      <c r="J691" s="10">
        <v>496</v>
      </c>
      <c r="K691" s="104">
        <v>45239</v>
      </c>
      <c r="L691" s="104">
        <v>45339</v>
      </c>
      <c r="M691" s="10" t="b">
        <v>0</v>
      </c>
      <c r="N691" s="10">
        <v>101</v>
      </c>
      <c r="O691" s="11">
        <v>1119</v>
      </c>
      <c r="P691" s="85">
        <v>2.256048387096774</v>
      </c>
      <c r="Q691" s="11">
        <v>1119</v>
      </c>
      <c r="R691" s="85">
        <v>2.256048387096774</v>
      </c>
      <c r="S691" s="29" t="s">
        <v>1998</v>
      </c>
      <c r="T691" s="29" t="s">
        <v>1998</v>
      </c>
    </row>
    <row r="692">
      <c r="B692" s="29" t="s">
        <v>1221</v>
      </c>
      <c r="C692" s="29" t="s">
        <v>1247</v>
      </c>
      <c r="D692" s="8" t="s">
        <v>1302</v>
      </c>
      <c r="E692" s="10"/>
      <c r="F692" s="10"/>
      <c r="G692" s="10">
        <v>1</v>
      </c>
      <c r="H692" s="10">
        <v>1</v>
      </c>
      <c r="I692" s="10"/>
      <c r="J692" s="10">
        <v>518</v>
      </c>
      <c r="K692" s="104">
        <v>45336</v>
      </c>
      <c r="L692" s="104">
        <v>45339</v>
      </c>
      <c r="M692" s="10" t="b">
        <v>0</v>
      </c>
      <c r="N692" s="10">
        <v>4</v>
      </c>
      <c r="O692" s="11">
        <v>889</v>
      </c>
      <c r="P692" s="85">
        <v>1.7162162162162162</v>
      </c>
      <c r="Q692" s="11">
        <v>889</v>
      </c>
      <c r="R692" s="85">
        <v>1.7162162162162162</v>
      </c>
      <c r="S692" s="29" t="s">
        <v>1998</v>
      </c>
      <c r="T692" s="29" t="s">
        <v>1998</v>
      </c>
    </row>
    <row r="693">
      <c r="B693" s="29" t="s">
        <v>1221</v>
      </c>
      <c r="C693" s="29" t="s">
        <v>1247</v>
      </c>
      <c r="D693" s="8" t="s">
        <v>1303</v>
      </c>
      <c r="E693" s="10"/>
      <c r="F693" s="10"/>
      <c r="G693" s="10">
        <v>1</v>
      </c>
      <c r="H693" s="10">
        <v>1</v>
      </c>
      <c r="I693" s="10"/>
      <c r="J693" s="10">
        <v>518</v>
      </c>
      <c r="K693" s="104">
        <v>45251</v>
      </c>
      <c r="L693" s="104">
        <v>45294</v>
      </c>
      <c r="M693" s="10" t="b">
        <v>0</v>
      </c>
      <c r="N693" s="10">
        <v>44</v>
      </c>
      <c r="O693" s="11">
        <v>925</v>
      </c>
      <c r="P693" s="85">
        <v>1.7857142857142858</v>
      </c>
      <c r="Q693" s="11">
        <v>925</v>
      </c>
      <c r="R693" s="85">
        <v>1.7857142857142858</v>
      </c>
      <c r="S693" s="29" t="s">
        <v>1998</v>
      </c>
      <c r="T693" s="29" t="s">
        <v>1998</v>
      </c>
    </row>
    <row r="694">
      <c r="B694" s="29" t="s">
        <v>1221</v>
      </c>
      <c r="C694" s="29" t="s">
        <v>1247</v>
      </c>
      <c r="D694" s="8" t="s">
        <v>1304</v>
      </c>
      <c r="E694" s="10"/>
      <c r="F694" s="10"/>
      <c r="G694" s="10">
        <v>1</v>
      </c>
      <c r="H694" s="10">
        <v>1</v>
      </c>
      <c r="I694" s="10"/>
      <c r="J694" s="10">
        <v>518</v>
      </c>
      <c r="K694" s="104">
        <v>45336</v>
      </c>
      <c r="L694" s="104">
        <v>45339</v>
      </c>
      <c r="M694" s="10" t="b">
        <v>0</v>
      </c>
      <c r="N694" s="10">
        <v>4</v>
      </c>
      <c r="O694" s="11">
        <v>925</v>
      </c>
      <c r="P694" s="85">
        <v>1.7857142857142858</v>
      </c>
      <c r="Q694" s="11">
        <v>925</v>
      </c>
      <c r="R694" s="85">
        <v>1.7857142857142858</v>
      </c>
      <c r="S694" s="29" t="s">
        <v>1998</v>
      </c>
      <c r="T694" s="29" t="s">
        <v>1998</v>
      </c>
    </row>
    <row r="695">
      <c r="B695" s="29" t="s">
        <v>1221</v>
      </c>
      <c r="C695" s="29" t="s">
        <v>1247</v>
      </c>
      <c r="D695" s="8" t="s">
        <v>1305</v>
      </c>
      <c r="E695" s="10"/>
      <c r="F695" s="10"/>
      <c r="G695" s="10">
        <v>1</v>
      </c>
      <c r="H695" s="10">
        <v>1</v>
      </c>
      <c r="I695" s="10"/>
      <c r="J695" s="10">
        <v>518</v>
      </c>
      <c r="K695" s="104">
        <v>45239</v>
      </c>
      <c r="L695" s="104">
        <v>45258</v>
      </c>
      <c r="M695" s="10" t="b">
        <v>0</v>
      </c>
      <c r="N695" s="10">
        <v>20</v>
      </c>
      <c r="O695" s="11">
        <v>950</v>
      </c>
      <c r="P695" s="85">
        <v>1.833976833976834</v>
      </c>
      <c r="Q695" s="11">
        <v>950</v>
      </c>
      <c r="R695" s="85">
        <v>1.833976833976834</v>
      </c>
      <c r="S695" s="29" t="s">
        <v>1998</v>
      </c>
      <c r="T695" s="29" t="s">
        <v>1998</v>
      </c>
    </row>
    <row r="696">
      <c r="B696" s="29" t="s">
        <v>1221</v>
      </c>
      <c r="C696" s="29" t="s">
        <v>1247</v>
      </c>
      <c r="D696" s="8" t="s">
        <v>1306</v>
      </c>
      <c r="E696" s="10"/>
      <c r="F696" s="10"/>
      <c r="G696" s="10">
        <v>1</v>
      </c>
      <c r="H696" s="10">
        <v>1</v>
      </c>
      <c r="I696" s="10"/>
      <c r="J696" s="10">
        <v>518</v>
      </c>
      <c r="K696" s="104">
        <v>45318</v>
      </c>
      <c r="L696" s="104">
        <v>45336</v>
      </c>
      <c r="M696" s="10" t="b">
        <v>0</v>
      </c>
      <c r="N696" s="10">
        <v>19</v>
      </c>
      <c r="O696" s="11">
        <v>950</v>
      </c>
      <c r="P696" s="85">
        <v>1.833976833976834</v>
      </c>
      <c r="Q696" s="11">
        <v>950</v>
      </c>
      <c r="R696" s="85">
        <v>1.833976833976834</v>
      </c>
      <c r="S696" s="29" t="s">
        <v>1998</v>
      </c>
      <c r="T696" s="29" t="s">
        <v>1998</v>
      </c>
    </row>
    <row r="697">
      <c r="B697" s="29" t="s">
        <v>1221</v>
      </c>
      <c r="C697" s="29" t="s">
        <v>1247</v>
      </c>
      <c r="D697" s="8" t="s">
        <v>1307</v>
      </c>
      <c r="E697" s="10"/>
      <c r="F697" s="10"/>
      <c r="G697" s="10">
        <v>1</v>
      </c>
      <c r="H697" s="10">
        <v>1</v>
      </c>
      <c r="I697" s="10"/>
      <c r="J697" s="10">
        <v>518</v>
      </c>
      <c r="K697" s="104">
        <v>45239</v>
      </c>
      <c r="L697" s="104">
        <v>45318</v>
      </c>
      <c r="M697" s="10" t="b">
        <v>0</v>
      </c>
      <c r="N697" s="10">
        <v>80</v>
      </c>
      <c r="O697" s="11">
        <v>975</v>
      </c>
      <c r="P697" s="85">
        <v>1.8822393822393821</v>
      </c>
      <c r="Q697" s="11">
        <v>975</v>
      </c>
      <c r="R697" s="85">
        <v>1.8822393822393821</v>
      </c>
      <c r="S697" s="29" t="s">
        <v>1998</v>
      </c>
      <c r="T697" s="29" t="s">
        <v>1998</v>
      </c>
    </row>
    <row r="698">
      <c r="B698" s="29" t="s">
        <v>1221</v>
      </c>
      <c r="C698" s="29" t="s">
        <v>1247</v>
      </c>
      <c r="D698" s="8" t="s">
        <v>1308</v>
      </c>
      <c r="E698" s="10"/>
      <c r="F698" s="10"/>
      <c r="G698" s="10">
        <v>1</v>
      </c>
      <c r="H698" s="10">
        <v>1</v>
      </c>
      <c r="I698" s="10"/>
      <c r="J698" s="10">
        <v>518</v>
      </c>
      <c r="K698" s="104">
        <v>45336</v>
      </c>
      <c r="L698" s="104">
        <v>45339</v>
      </c>
      <c r="M698" s="10" t="b">
        <v>0</v>
      </c>
      <c r="N698" s="10">
        <v>4</v>
      </c>
      <c r="O698" s="11">
        <v>1025</v>
      </c>
      <c r="P698" s="85">
        <v>1.9787644787644787</v>
      </c>
      <c r="Q698" s="11">
        <v>1025</v>
      </c>
      <c r="R698" s="85">
        <v>1.9787644787644787</v>
      </c>
      <c r="S698" s="29" t="s">
        <v>1998</v>
      </c>
      <c r="T698" s="29" t="s">
        <v>1998</v>
      </c>
    </row>
    <row r="699">
      <c r="B699" s="29" t="s">
        <v>1221</v>
      </c>
      <c r="C699" s="29" t="s">
        <v>1247</v>
      </c>
      <c r="D699" s="8" t="s">
        <v>1309</v>
      </c>
      <c r="E699" s="10"/>
      <c r="F699" s="10"/>
      <c r="G699" s="10">
        <v>1</v>
      </c>
      <c r="H699" s="10">
        <v>1</v>
      </c>
      <c r="I699" s="10"/>
      <c r="J699" s="10">
        <v>518</v>
      </c>
      <c r="K699" s="104">
        <v>45336</v>
      </c>
      <c r="L699" s="104">
        <v>45339</v>
      </c>
      <c r="M699" s="10" t="b">
        <v>0</v>
      </c>
      <c r="N699" s="10">
        <v>4</v>
      </c>
      <c r="O699" s="11">
        <v>1030</v>
      </c>
      <c r="P699" s="85">
        <v>1.9884169884169884</v>
      </c>
      <c r="Q699" s="11">
        <v>1030</v>
      </c>
      <c r="R699" s="85">
        <v>1.9884169884169884</v>
      </c>
      <c r="S699" s="29" t="s">
        <v>1998</v>
      </c>
      <c r="T699" s="29" t="s">
        <v>1998</v>
      </c>
    </row>
    <row r="700">
      <c r="B700" s="29" t="s">
        <v>1221</v>
      </c>
      <c r="C700" s="29" t="s">
        <v>1247</v>
      </c>
      <c r="D700" s="8" t="s">
        <v>1310</v>
      </c>
      <c r="E700" s="10"/>
      <c r="F700" s="10"/>
      <c r="G700" s="10">
        <v>1</v>
      </c>
      <c r="H700" s="10">
        <v>1</v>
      </c>
      <c r="I700" s="10"/>
      <c r="J700" s="10">
        <v>518</v>
      </c>
      <c r="K700" s="104">
        <v>45295</v>
      </c>
      <c r="L700" s="104">
        <v>45336</v>
      </c>
      <c r="M700" s="10" t="b">
        <v>0</v>
      </c>
      <c r="N700" s="10">
        <v>42</v>
      </c>
      <c r="O700" s="11">
        <v>1050</v>
      </c>
      <c r="P700" s="85">
        <v>2.027027027027027</v>
      </c>
      <c r="Q700" s="11">
        <v>1050</v>
      </c>
      <c r="R700" s="85">
        <v>2.027027027027027</v>
      </c>
      <c r="S700" s="29" t="s">
        <v>1998</v>
      </c>
      <c r="T700" s="29" t="s">
        <v>1998</v>
      </c>
    </row>
    <row r="701">
      <c r="B701" s="29" t="s">
        <v>1221</v>
      </c>
      <c r="C701" s="29" t="s">
        <v>1247</v>
      </c>
      <c r="D701" s="8" t="s">
        <v>1311</v>
      </c>
      <c r="E701" s="10"/>
      <c r="F701" s="10"/>
      <c r="G701" s="10">
        <v>1</v>
      </c>
      <c r="H701" s="10">
        <v>1</v>
      </c>
      <c r="I701" s="10"/>
      <c r="J701" s="10">
        <v>518</v>
      </c>
      <c r="K701" s="104">
        <v>45239</v>
      </c>
      <c r="L701" s="104">
        <v>45294</v>
      </c>
      <c r="M701" s="10" t="b">
        <v>0</v>
      </c>
      <c r="N701" s="10">
        <v>56</v>
      </c>
      <c r="O701" s="11">
        <v>1050</v>
      </c>
      <c r="P701" s="85">
        <v>2.027027027027027</v>
      </c>
      <c r="Q701" s="11">
        <v>1050</v>
      </c>
      <c r="R701" s="85">
        <v>2.027027027027027</v>
      </c>
      <c r="S701" s="29" t="s">
        <v>1998</v>
      </c>
      <c r="T701" s="29" t="s">
        <v>1998</v>
      </c>
    </row>
    <row r="702">
      <c r="B702" s="29" t="s">
        <v>1221</v>
      </c>
      <c r="C702" s="29" t="s">
        <v>1247</v>
      </c>
      <c r="D702" s="8" t="s">
        <v>1306</v>
      </c>
      <c r="E702" s="10" t="s">
        <v>1306</v>
      </c>
      <c r="F702" s="10"/>
      <c r="G702" s="10">
        <v>1</v>
      </c>
      <c r="H702" s="10">
        <v>1</v>
      </c>
      <c r="I702" s="10"/>
      <c r="J702" s="10">
        <v>518</v>
      </c>
      <c r="K702" s="104">
        <v>45239</v>
      </c>
      <c r="L702" s="104">
        <v>45262</v>
      </c>
      <c r="M702" s="10" t="b">
        <v>0</v>
      </c>
      <c r="N702" s="10">
        <v>24</v>
      </c>
      <c r="O702" s="11">
        <v>1109</v>
      </c>
      <c r="P702" s="85">
        <v>2.140926640926641</v>
      </c>
      <c r="Q702" s="11">
        <v>1109</v>
      </c>
      <c r="R702" s="85">
        <v>2.140926640926641</v>
      </c>
      <c r="S702" s="29" t="s">
        <v>1998</v>
      </c>
      <c r="T702" s="29" t="s">
        <v>1998</v>
      </c>
    </row>
    <row r="703">
      <c r="B703" s="29" t="s">
        <v>1221</v>
      </c>
      <c r="C703" s="29" t="s">
        <v>1247</v>
      </c>
      <c r="D703" s="8" t="s">
        <v>1301</v>
      </c>
      <c r="E703" s="10" t="s">
        <v>1986</v>
      </c>
      <c r="F703" s="10">
        <v>2</v>
      </c>
      <c r="G703" s="10">
        <v>1</v>
      </c>
      <c r="H703" s="10">
        <v>1</v>
      </c>
      <c r="I703" s="10"/>
      <c r="J703" s="10">
        <v>518</v>
      </c>
      <c r="K703" s="104">
        <v>45406</v>
      </c>
      <c r="L703" s="104">
        <v>45506</v>
      </c>
      <c r="M703" s="10" t="b">
        <v>0</v>
      </c>
      <c r="N703" s="10">
        <v>101</v>
      </c>
      <c r="O703" s="11">
        <v>1119</v>
      </c>
      <c r="P703" s="85">
        <v>2.16023166023166</v>
      </c>
      <c r="Q703" s="11">
        <v>1119</v>
      </c>
      <c r="R703" s="85">
        <v>2.16023166023166</v>
      </c>
      <c r="S703" s="29" t="s">
        <v>1998</v>
      </c>
      <c r="T703" s="29" t="s">
        <v>1998</v>
      </c>
    </row>
    <row r="704">
      <c r="B704" s="29" t="s">
        <v>1221</v>
      </c>
      <c r="C704" s="29" t="s">
        <v>1247</v>
      </c>
      <c r="D704" s="8" t="s">
        <v>1293</v>
      </c>
      <c r="E704" s="10" t="s">
        <v>1987</v>
      </c>
      <c r="F704" s="10">
        <v>4</v>
      </c>
      <c r="G704" s="10">
        <v>1</v>
      </c>
      <c r="H704" s="10">
        <v>1</v>
      </c>
      <c r="I704" s="10"/>
      <c r="J704" s="10"/>
      <c r="K704" s="104">
        <v>45633</v>
      </c>
      <c r="L704" s="104">
        <v>45770</v>
      </c>
      <c r="M704" s="10" t="b">
        <v>0</v>
      </c>
      <c r="N704" s="10">
        <v>138</v>
      </c>
      <c r="O704" s="11">
        <v>900</v>
      </c>
      <c r="P704" s="85"/>
      <c r="Q704" s="11">
        <v>900</v>
      </c>
      <c r="R704" s="85"/>
      <c r="S704" s="29" t="s">
        <v>1998</v>
      </c>
      <c r="T704" s="29" t="s">
        <v>1998</v>
      </c>
    </row>
    <row r="705">
      <c r="B705" s="29" t="s">
        <v>1221</v>
      </c>
      <c r="C705" s="29" t="s">
        <v>1247</v>
      </c>
      <c r="D705" s="8" t="s">
        <v>1293</v>
      </c>
      <c r="E705" s="10" t="s">
        <v>1988</v>
      </c>
      <c r="F705" s="10">
        <v>3</v>
      </c>
      <c r="G705" s="10">
        <v>1</v>
      </c>
      <c r="H705" s="10">
        <v>1</v>
      </c>
      <c r="I705" s="10"/>
      <c r="J705" s="10"/>
      <c r="K705" s="104">
        <v>45632</v>
      </c>
      <c r="L705" s="104"/>
      <c r="M705" s="10" t="b">
        <v>1</v>
      </c>
      <c r="N705" s="10"/>
      <c r="O705" s="11">
        <v>1100</v>
      </c>
      <c r="P705" s="85"/>
      <c r="Q705" s="11">
        <v>1100</v>
      </c>
      <c r="R705" s="85"/>
      <c r="S705" s="29" t="s">
        <v>1998</v>
      </c>
      <c r="T705" s="29" t="s">
        <v>1998</v>
      </c>
    </row>
    <row r="706">
      <c r="B706" s="29" t="s">
        <v>1221</v>
      </c>
      <c r="C706" s="29" t="s">
        <v>1247</v>
      </c>
      <c r="D706" s="8" t="s">
        <v>1293</v>
      </c>
      <c r="E706" s="10" t="s">
        <v>1989</v>
      </c>
      <c r="F706" s="10"/>
      <c r="G706" s="10">
        <v>1</v>
      </c>
      <c r="H706" s="10">
        <v>1</v>
      </c>
      <c r="I706" s="10"/>
      <c r="J706" s="10"/>
      <c r="K706" s="104">
        <v>45632</v>
      </c>
      <c r="L706" s="104"/>
      <c r="M706" s="10" t="b">
        <v>1</v>
      </c>
      <c r="N706" s="10"/>
      <c r="O706" s="11">
        <v>1100</v>
      </c>
      <c r="P706" s="85"/>
      <c r="Q706" s="11">
        <v>1100</v>
      </c>
      <c r="R706" s="85"/>
      <c r="S706" s="29" t="s">
        <v>1998</v>
      </c>
      <c r="T706" s="29" t="s">
        <v>1998</v>
      </c>
    </row>
    <row r="707">
      <c r="B707" s="29" t="s">
        <v>1221</v>
      </c>
      <c r="C707" s="29" t="s">
        <v>1247</v>
      </c>
      <c r="D707" s="8" t="s">
        <v>1293</v>
      </c>
      <c r="E707" s="10" t="s">
        <v>1990</v>
      </c>
      <c r="F707" s="10">
        <v>4</v>
      </c>
      <c r="G707" s="10">
        <v>1</v>
      </c>
      <c r="H707" s="10">
        <v>1</v>
      </c>
      <c r="I707" s="10"/>
      <c r="J707" s="10"/>
      <c r="K707" s="104">
        <v>45633</v>
      </c>
      <c r="L707" s="104">
        <v>45770</v>
      </c>
      <c r="M707" s="10" t="b">
        <v>0</v>
      </c>
      <c r="N707" s="10">
        <v>138</v>
      </c>
      <c r="O707" s="11">
        <v>1150</v>
      </c>
      <c r="P707" s="85"/>
      <c r="Q707" s="11">
        <v>1150</v>
      </c>
      <c r="R707" s="85"/>
      <c r="S707" s="29" t="s">
        <v>1998</v>
      </c>
      <c r="T707" s="29" t="s">
        <v>1998</v>
      </c>
    </row>
    <row r="708">
      <c r="B708" s="29" t="s">
        <v>1221</v>
      </c>
      <c r="C708" s="29" t="s">
        <v>1247</v>
      </c>
      <c r="D708" s="8" t="s">
        <v>1312</v>
      </c>
      <c r="E708" s="10"/>
      <c r="F708" s="10"/>
      <c r="G708" s="10">
        <v>2</v>
      </c>
      <c r="H708" s="10">
        <v>1</v>
      </c>
      <c r="I708" s="10"/>
      <c r="J708" s="10">
        <v>825</v>
      </c>
      <c r="K708" s="104">
        <v>45239</v>
      </c>
      <c r="L708" s="104">
        <v>45294</v>
      </c>
      <c r="M708" s="10" t="b">
        <v>0</v>
      </c>
      <c r="N708" s="10">
        <v>56</v>
      </c>
      <c r="O708" s="11">
        <v>1005</v>
      </c>
      <c r="P708" s="85">
        <v>1.2181818181818183</v>
      </c>
      <c r="Q708" s="11">
        <v>1005</v>
      </c>
      <c r="R708" s="85">
        <v>1.2181818181818183</v>
      </c>
      <c r="S708" s="29" t="s">
        <v>1998</v>
      </c>
      <c r="T708" s="29" t="s">
        <v>1998</v>
      </c>
    </row>
    <row r="709">
      <c r="B709" s="29" t="s">
        <v>1221</v>
      </c>
      <c r="C709" s="29" t="s">
        <v>1247</v>
      </c>
      <c r="D709" s="8" t="s">
        <v>1313</v>
      </c>
      <c r="E709" s="10"/>
      <c r="F709" s="10"/>
      <c r="G709" s="10">
        <v>2</v>
      </c>
      <c r="H709" s="10">
        <v>1</v>
      </c>
      <c r="I709" s="10"/>
      <c r="J709" s="10">
        <v>825</v>
      </c>
      <c r="K709" s="104">
        <v>45239</v>
      </c>
      <c r="L709" s="104">
        <v>45294</v>
      </c>
      <c r="M709" s="10" t="b">
        <v>0</v>
      </c>
      <c r="N709" s="10">
        <v>56</v>
      </c>
      <c r="O709" s="11">
        <v>1050</v>
      </c>
      <c r="P709" s="85">
        <v>1.2727272727272727</v>
      </c>
      <c r="Q709" s="11">
        <v>1050</v>
      </c>
      <c r="R709" s="85">
        <v>1.2727272727272727</v>
      </c>
      <c r="S709" s="29" t="s">
        <v>1998</v>
      </c>
      <c r="T709" s="29" t="s">
        <v>1998</v>
      </c>
    </row>
    <row r="710">
      <c r="B710" s="29" t="s">
        <v>1221</v>
      </c>
      <c r="C710" s="29" t="s">
        <v>1247</v>
      </c>
      <c r="D710" s="8" t="s">
        <v>1314</v>
      </c>
      <c r="E710" s="10"/>
      <c r="F710" s="10"/>
      <c r="G710" s="10">
        <v>2</v>
      </c>
      <c r="H710" s="10">
        <v>1</v>
      </c>
      <c r="I710" s="10"/>
      <c r="J710" s="10">
        <v>825</v>
      </c>
      <c r="K710" s="104">
        <v>45239</v>
      </c>
      <c r="L710" s="104">
        <v>45251</v>
      </c>
      <c r="M710" s="10" t="b">
        <v>0</v>
      </c>
      <c r="N710" s="10">
        <v>13</v>
      </c>
      <c r="O710" s="11">
        <v>1050</v>
      </c>
      <c r="P710" s="85">
        <v>1.2727272727272727</v>
      </c>
      <c r="Q710" s="11">
        <v>1050</v>
      </c>
      <c r="R710" s="85">
        <v>1.2727272727272727</v>
      </c>
      <c r="S710" s="29" t="s">
        <v>1998</v>
      </c>
      <c r="T710" s="29" t="s">
        <v>1998</v>
      </c>
    </row>
    <row r="711">
      <c r="B711" s="29" t="s">
        <v>1221</v>
      </c>
      <c r="C711" s="29" t="s">
        <v>1247</v>
      </c>
      <c r="D711" s="8" t="s">
        <v>1315</v>
      </c>
      <c r="E711" s="10"/>
      <c r="F711" s="10"/>
      <c r="G711" s="10">
        <v>2</v>
      </c>
      <c r="H711" s="10">
        <v>1</v>
      </c>
      <c r="I711" s="10"/>
      <c r="J711" s="10">
        <v>825</v>
      </c>
      <c r="K711" s="104">
        <v>45318</v>
      </c>
      <c r="L711" s="104">
        <v>45336</v>
      </c>
      <c r="M711" s="10" t="b">
        <v>0</v>
      </c>
      <c r="N711" s="10">
        <v>19</v>
      </c>
      <c r="O711" s="11">
        <v>1075</v>
      </c>
      <c r="P711" s="85">
        <v>1.303030303030303</v>
      </c>
      <c r="Q711" s="11">
        <v>1075</v>
      </c>
      <c r="R711" s="85">
        <v>1.303030303030303</v>
      </c>
      <c r="S711" s="29" t="s">
        <v>1998</v>
      </c>
      <c r="T711" s="29" t="s">
        <v>1998</v>
      </c>
    </row>
    <row r="712">
      <c r="B712" s="29" t="s">
        <v>1221</v>
      </c>
      <c r="C712" s="29" t="s">
        <v>1247</v>
      </c>
      <c r="D712" s="8" t="s">
        <v>1316</v>
      </c>
      <c r="E712" s="10"/>
      <c r="F712" s="10"/>
      <c r="G712" s="10">
        <v>2</v>
      </c>
      <c r="H712" s="10">
        <v>1</v>
      </c>
      <c r="I712" s="10"/>
      <c r="J712" s="10">
        <v>825</v>
      </c>
      <c r="K712" s="104">
        <v>45295</v>
      </c>
      <c r="L712" s="104">
        <v>45318</v>
      </c>
      <c r="M712" s="10" t="b">
        <v>0</v>
      </c>
      <c r="N712" s="10">
        <v>24</v>
      </c>
      <c r="O712" s="11">
        <v>1175</v>
      </c>
      <c r="P712" s="85">
        <v>1.4242424242424243</v>
      </c>
      <c r="Q712" s="11">
        <v>1175</v>
      </c>
      <c r="R712" s="85">
        <v>1.4242424242424243</v>
      </c>
      <c r="S712" s="29" t="s">
        <v>1998</v>
      </c>
      <c r="T712" s="29" t="s">
        <v>1998</v>
      </c>
    </row>
    <row r="713">
      <c r="B713" s="29" t="s">
        <v>1221</v>
      </c>
      <c r="C713" s="29" t="s">
        <v>1247</v>
      </c>
      <c r="D713" s="8" t="s">
        <v>1317</v>
      </c>
      <c r="E713" s="10" t="s">
        <v>1317</v>
      </c>
      <c r="F713" s="10"/>
      <c r="G713" s="10">
        <v>2</v>
      </c>
      <c r="H713" s="10">
        <v>1</v>
      </c>
      <c r="I713" s="10"/>
      <c r="J713" s="10">
        <v>825</v>
      </c>
      <c r="K713" s="104">
        <v>45295</v>
      </c>
      <c r="L713" s="104">
        <v>45336</v>
      </c>
      <c r="M713" s="10" t="b">
        <v>0</v>
      </c>
      <c r="N713" s="10">
        <v>42</v>
      </c>
      <c r="O713" s="11">
        <v>1275</v>
      </c>
      <c r="P713" s="85">
        <v>1.5454545454545454</v>
      </c>
      <c r="Q713" s="11">
        <v>1275</v>
      </c>
      <c r="R713" s="85">
        <v>1.5454545454545454</v>
      </c>
      <c r="S713" s="29" t="s">
        <v>1998</v>
      </c>
      <c r="T713" s="29" t="s">
        <v>1998</v>
      </c>
    </row>
    <row r="714">
      <c r="B714" s="29" t="s">
        <v>1222</v>
      </c>
      <c r="C714" s="29" t="s">
        <v>1248</v>
      </c>
      <c r="D714" s="8" t="s">
        <v>13</v>
      </c>
      <c r="E714" s="10" t="s">
        <v>1991</v>
      </c>
      <c r="F714" s="10">
        <v>2</v>
      </c>
      <c r="G714" s="10">
        <v>0</v>
      </c>
      <c r="H714" s="10">
        <v>1</v>
      </c>
      <c r="I714" s="10"/>
      <c r="J714" s="10">
        <v>475</v>
      </c>
      <c r="K714" s="104">
        <v>45205</v>
      </c>
      <c r="L714" s="104">
        <v>45356</v>
      </c>
      <c r="M714" s="10" t="b">
        <v>0</v>
      </c>
      <c r="N714" s="10">
        <v>152</v>
      </c>
      <c r="O714" s="11">
        <v>800</v>
      </c>
      <c r="P714" s="85">
        <v>1.6842105263157894</v>
      </c>
      <c r="Q714" s="11">
        <v>800</v>
      </c>
      <c r="R714" s="85">
        <v>1.6842105263157894</v>
      </c>
      <c r="S714" s="29" t="s">
        <v>1998</v>
      </c>
      <c r="T714" s="29" t="s">
        <v>1998</v>
      </c>
    </row>
    <row r="715">
      <c r="B715" s="29" t="s">
        <v>1222</v>
      </c>
      <c r="C715" s="29" t="s">
        <v>1248</v>
      </c>
      <c r="D715" s="8" t="s">
        <v>13</v>
      </c>
      <c r="E715" s="10" t="s">
        <v>1992</v>
      </c>
      <c r="F715" s="10">
        <v>1</v>
      </c>
      <c r="G715" s="10">
        <v>0</v>
      </c>
      <c r="H715" s="10">
        <v>1</v>
      </c>
      <c r="I715" s="10"/>
      <c r="J715" s="10">
        <v>475</v>
      </c>
      <c r="K715" s="104">
        <v>45548</v>
      </c>
      <c r="L715" s="104">
        <v>45573</v>
      </c>
      <c r="M715" s="10" t="b">
        <v>0</v>
      </c>
      <c r="N715" s="10">
        <v>26</v>
      </c>
      <c r="O715" s="11">
        <v>800</v>
      </c>
      <c r="P715" s="85">
        <v>1.6842105263157894</v>
      </c>
      <c r="Q715" s="11">
        <v>800</v>
      </c>
      <c r="R715" s="85">
        <v>1.6842105263157894</v>
      </c>
      <c r="S715" s="29" t="s">
        <v>1998</v>
      </c>
      <c r="T715" s="29" t="s">
        <v>1998</v>
      </c>
    </row>
    <row r="716">
      <c r="B716" s="29" t="s">
        <v>1222</v>
      </c>
      <c r="C716" s="29" t="s">
        <v>1248</v>
      </c>
      <c r="D716" s="8" t="s">
        <v>269</v>
      </c>
      <c r="E716" s="10" t="s">
        <v>1993</v>
      </c>
      <c r="F716" s="10">
        <v>5</v>
      </c>
      <c r="G716" s="10">
        <v>1</v>
      </c>
      <c r="H716" s="10">
        <v>1</v>
      </c>
      <c r="I716" s="10"/>
      <c r="J716" s="10">
        <v>600</v>
      </c>
      <c r="K716" s="104">
        <v>45548</v>
      </c>
      <c r="L716" s="104">
        <v>45573</v>
      </c>
      <c r="M716" s="10" t="b">
        <v>0</v>
      </c>
      <c r="N716" s="10">
        <v>26</v>
      </c>
      <c r="O716" s="11">
        <v>950</v>
      </c>
      <c r="P716" s="85">
        <v>1.5833333333333333</v>
      </c>
      <c r="Q716" s="11">
        <v>950</v>
      </c>
      <c r="R716" s="85">
        <v>1.5833333333333333</v>
      </c>
      <c r="S716" s="29" t="s">
        <v>1998</v>
      </c>
      <c r="T716" s="29" t="s">
        <v>1998</v>
      </c>
    </row>
    <row r="717">
      <c r="B717" s="29" t="s">
        <v>1222</v>
      </c>
      <c r="C717" s="29" t="s">
        <v>1248</v>
      </c>
      <c r="D717" s="8" t="s">
        <v>269</v>
      </c>
      <c r="E717" s="10" t="s">
        <v>1994</v>
      </c>
      <c r="F717" s="10">
        <v>3</v>
      </c>
      <c r="G717" s="10">
        <v>1</v>
      </c>
      <c r="H717" s="10">
        <v>1</v>
      </c>
      <c r="I717" s="10"/>
      <c r="J717" s="10">
        <v>600</v>
      </c>
      <c r="K717" s="104">
        <v>45548</v>
      </c>
      <c r="L717" s="104">
        <v>45573</v>
      </c>
      <c r="M717" s="10" t="b">
        <v>0</v>
      </c>
      <c r="N717" s="10">
        <v>26</v>
      </c>
      <c r="O717" s="11">
        <v>950</v>
      </c>
      <c r="P717" s="85">
        <v>1.5833333333333333</v>
      </c>
      <c r="Q717" s="11">
        <v>950</v>
      </c>
      <c r="R717" s="85">
        <v>1.5833333333333333</v>
      </c>
      <c r="S717" s="29" t="s">
        <v>1998</v>
      </c>
      <c r="T717" s="29" t="s">
        <v>1998</v>
      </c>
    </row>
    <row r="718">
      <c r="B718" s="29" t="s">
        <v>1222</v>
      </c>
      <c r="C718" s="29" t="s">
        <v>1248</v>
      </c>
      <c r="D718" s="8" t="s">
        <v>269</v>
      </c>
      <c r="E718" s="10" t="s">
        <v>1995</v>
      </c>
      <c r="F718" s="10">
        <v>1</v>
      </c>
      <c r="G718" s="10">
        <v>1</v>
      </c>
      <c r="H718" s="10">
        <v>1</v>
      </c>
      <c r="I718" s="10"/>
      <c r="J718" s="10">
        <v>600</v>
      </c>
      <c r="K718" s="104">
        <v>45548</v>
      </c>
      <c r="L718" s="104">
        <v>45573</v>
      </c>
      <c r="M718" s="10" t="b">
        <v>0</v>
      </c>
      <c r="N718" s="10">
        <v>26</v>
      </c>
      <c r="O718" s="11">
        <v>950</v>
      </c>
      <c r="P718" s="85">
        <v>1.5833333333333333</v>
      </c>
      <c r="Q718" s="11">
        <v>950</v>
      </c>
      <c r="R718" s="85">
        <v>1.5833333333333333</v>
      </c>
      <c r="S718" s="29" t="s">
        <v>1998</v>
      </c>
      <c r="T718" s="29" t="s">
        <v>1998</v>
      </c>
    </row>
    <row r="719">
      <c r="B719" s="29" t="s">
        <v>1222</v>
      </c>
      <c r="C719" s="29" t="s">
        <v>1248</v>
      </c>
      <c r="D719" s="8" t="s">
        <v>1318</v>
      </c>
      <c r="E719" s="10" t="s">
        <v>1996</v>
      </c>
      <c r="F719" s="10">
        <v>3</v>
      </c>
      <c r="G719" s="10">
        <v>1</v>
      </c>
      <c r="H719" s="10">
        <v>1</v>
      </c>
      <c r="I719" s="10"/>
      <c r="J719" s="10">
        <v>650</v>
      </c>
      <c r="K719" s="104">
        <v>45573</v>
      </c>
      <c r="L719" s="104"/>
      <c r="M719" s="10" t="b">
        <v>1</v>
      </c>
      <c r="N719" s="10"/>
      <c r="O719" s="11">
        <v>1000</v>
      </c>
      <c r="P719" s="85">
        <v>1.5384615384615385</v>
      </c>
      <c r="Q719" s="11">
        <v>1000</v>
      </c>
      <c r="R719" s="85">
        <v>1.5384615384615385</v>
      </c>
      <c r="S719" s="29" t="s">
        <v>1998</v>
      </c>
      <c r="T719" s="29" t="s">
        <v>1998</v>
      </c>
    </row>
    <row r="720">
      <c r="B720" s="29" t="s">
        <v>1222</v>
      </c>
      <c r="C720" s="29" t="s">
        <v>1248</v>
      </c>
      <c r="D720" s="8" t="s">
        <v>270</v>
      </c>
      <c r="E720" s="10" t="s">
        <v>1997</v>
      </c>
      <c r="F720" s="10">
        <v>5</v>
      </c>
      <c r="G720" s="10">
        <v>2</v>
      </c>
      <c r="H720" s="10">
        <v>1</v>
      </c>
      <c r="I720" s="10"/>
      <c r="J720" s="10">
        <v>700</v>
      </c>
      <c r="K720" s="104">
        <v>45548</v>
      </c>
      <c r="L720" s="104">
        <v>45573</v>
      </c>
      <c r="M720" s="10" t="b">
        <v>0</v>
      </c>
      <c r="N720" s="10">
        <v>26</v>
      </c>
      <c r="O720" s="11">
        <v>1150</v>
      </c>
      <c r="P720" s="85">
        <v>1.6428571428571428</v>
      </c>
      <c r="Q720" s="11">
        <v>1150</v>
      </c>
      <c r="R720" s="85">
        <v>1.6428571428571428</v>
      </c>
      <c r="S720" s="29" t="s">
        <v>1998</v>
      </c>
      <c r="T720" s="29" t="s">
        <v>1998</v>
      </c>
    </row>
    <row r="721">
      <c r="B721" s="29" t="s">
        <v>1222</v>
      </c>
      <c r="C721" s="29" t="s">
        <v>1248</v>
      </c>
      <c r="D721" s="8" t="s">
        <v>270</v>
      </c>
      <c r="E721" s="10"/>
      <c r="F721" s="10"/>
      <c r="G721" s="10">
        <v>2</v>
      </c>
      <c r="H721" s="10">
        <v>1</v>
      </c>
      <c r="I721" s="10"/>
      <c r="J721" s="10">
        <v>700</v>
      </c>
      <c r="K721" s="104">
        <v>45142</v>
      </c>
      <c r="L721" s="104">
        <v>45205</v>
      </c>
      <c r="M721" s="10" t="b">
        <v>0</v>
      </c>
      <c r="N721" s="10">
        <v>64</v>
      </c>
      <c r="O721" s="11">
        <v>1150</v>
      </c>
      <c r="P721" s="85">
        <v>1.6428571428571428</v>
      </c>
      <c r="Q721" s="11">
        <v>1150</v>
      </c>
      <c r="R721" s="85">
        <v>1.6428571428571428</v>
      </c>
      <c r="S721" s="29" t="s">
        <v>1998</v>
      </c>
      <c r="T721" s="29" t="s">
        <v>1998</v>
      </c>
    </row>
    <row r="722">
      <c r="B722" s="29" t="s">
        <v>1214</v>
      </c>
      <c r="C722" s="29" t="s">
        <v>1249</v>
      </c>
      <c r="D722" s="8" t="s">
        <v>1319</v>
      </c>
      <c r="E722" s="10"/>
      <c r="F722" s="10"/>
      <c r="G722" s="10">
        <v>0</v>
      </c>
      <c r="H722" s="10">
        <v>1</v>
      </c>
      <c r="I722" s="10"/>
      <c r="J722" s="10">
        <v>410</v>
      </c>
      <c r="K722" s="104"/>
      <c r="L722" s="104"/>
      <c r="M722" s="10" t="b">
        <v>1</v>
      </c>
      <c r="N722" s="10"/>
      <c r="O722" s="11"/>
      <c r="P722" s="85"/>
      <c r="Q722" s="11"/>
      <c r="R722" s="85"/>
      <c r="S722" s="29" t="s">
        <v>1998</v>
      </c>
      <c r="T722" s="29" t="s">
        <v>1998</v>
      </c>
    </row>
    <row r="723">
      <c r="B723" s="29" t="s">
        <v>1214</v>
      </c>
      <c r="C723" s="29" t="s">
        <v>1249</v>
      </c>
      <c r="D723" s="8" t="s">
        <v>1320</v>
      </c>
      <c r="E723" s="10"/>
      <c r="F723" s="10"/>
      <c r="G723" s="10">
        <v>1</v>
      </c>
      <c r="H723" s="10">
        <v>1</v>
      </c>
      <c r="I723" s="10"/>
      <c r="J723" s="10">
        <v>555</v>
      </c>
      <c r="K723" s="104"/>
      <c r="L723" s="104"/>
      <c r="M723" s="10" t="b">
        <v>1</v>
      </c>
      <c r="N723" s="10"/>
      <c r="O723" s="11">
        <v>1029</v>
      </c>
      <c r="P723" s="85">
        <v>1.854054054054054</v>
      </c>
      <c r="Q723" s="11">
        <v>1029</v>
      </c>
      <c r="R723" s="85">
        <v>1.854054054054054</v>
      </c>
      <c r="S723" s="29" t="s">
        <v>1998</v>
      </c>
      <c r="T723" s="29" t="s">
        <v>1998</v>
      </c>
    </row>
    <row r="724">
      <c r="B724" s="29" t="s">
        <v>1214</v>
      </c>
      <c r="C724" s="29" t="s">
        <v>1249</v>
      </c>
      <c r="D724" s="8" t="s">
        <v>1321</v>
      </c>
      <c r="E724" s="10"/>
      <c r="F724" s="10"/>
      <c r="G724" s="10">
        <v>2</v>
      </c>
      <c r="H724" s="10">
        <v>1</v>
      </c>
      <c r="I724" s="10"/>
      <c r="J724" s="10">
        <v>675</v>
      </c>
      <c r="K724" s="104"/>
      <c r="L724" s="104"/>
      <c r="M724" s="10" t="b">
        <v>1</v>
      </c>
      <c r="N724" s="10"/>
      <c r="O724" s="11">
        <v>1259</v>
      </c>
      <c r="P724" s="85">
        <v>1.8651851851851853</v>
      </c>
      <c r="Q724" s="11">
        <v>1259</v>
      </c>
      <c r="R724" s="85">
        <v>1.8651851851851853</v>
      </c>
      <c r="S724" s="29" t="s">
        <v>1998</v>
      </c>
      <c r="T724" s="29" t="s">
        <v>1998</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1319</v>
      </c>
      <c r="D7" s="4">
        <v>0</v>
      </c>
      <c r="E7" s="303">
        <v>1</v>
      </c>
      <c r="F7" s="303" t="s">
        <v>1191</v>
      </c>
      <c r="G7" s="4">
        <v>118</v>
      </c>
      <c r="H7" s="4"/>
      <c r="I7" s="4">
        <v>410</v>
      </c>
      <c r="J7" s="345">
        <v>933</v>
      </c>
      <c r="K7" s="6">
        <v>2.2756097560975608</v>
      </c>
      <c r="L7" s="5">
        <v>933</v>
      </c>
      <c r="M7" s="6">
        <v>2.2756097560975608</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1320</v>
      </c>
      <c r="D8" s="4">
        <v>1</v>
      </c>
      <c r="E8" s="303">
        <v>1</v>
      </c>
      <c r="F8" s="303"/>
      <c r="G8" s="4">
        <v>118</v>
      </c>
      <c r="H8" s="4"/>
      <c r="I8" s="4">
        <v>555</v>
      </c>
      <c r="J8" s="345">
        <v>1029</v>
      </c>
      <c r="K8" s="6">
        <v>1.854054054054054</v>
      </c>
      <c r="L8" s="5">
        <v>1029</v>
      </c>
      <c r="M8" s="6">
        <v>1.854054054054054</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1321</v>
      </c>
      <c r="D9" s="4">
        <v>2</v>
      </c>
      <c r="E9" s="303">
        <v>1</v>
      </c>
      <c r="F9" s="303"/>
      <c r="G9" s="4">
        <v>117</v>
      </c>
      <c r="H9" s="4"/>
      <c r="I9" s="4">
        <v>675</v>
      </c>
      <c r="J9" s="345">
        <v>1259</v>
      </c>
      <c r="K9" s="6">
        <v>1.8651851851851853</v>
      </c>
      <c r="L9" s="5">
        <v>1259</v>
      </c>
      <c r="M9" s="6">
        <v>1.8651851851851853</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1216</v>
      </c>
      <c r="C10" s="80" t="s">
        <v>13</v>
      </c>
      <c r="D10" s="4">
        <v>1</v>
      </c>
      <c r="E10" s="303">
        <v>1</v>
      </c>
      <c r="F10" s="303"/>
      <c r="G10" s="4">
        <v>10</v>
      </c>
      <c r="H10" s="4">
        <v>64.5</v>
      </c>
      <c r="I10" s="4">
        <v>500</v>
      </c>
      <c r="J10" s="345">
        <v>1262.75</v>
      </c>
      <c r="K10" s="6">
        <v>2.5255</v>
      </c>
      <c r="L10" s="5">
        <v>1262.75</v>
      </c>
      <c r="M10" s="6">
        <v>2.5255</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1216</v>
      </c>
      <c r="C11" s="80" t="s">
        <v>1250</v>
      </c>
      <c r="D11" s="4">
        <v>1</v>
      </c>
      <c r="E11" s="303">
        <v>1</v>
      </c>
      <c r="F11" s="303"/>
      <c r="G11" s="4">
        <v>22</v>
      </c>
      <c r="H11" s="4">
        <v>180.77777777777777</v>
      </c>
      <c r="I11" s="4">
        <v>556</v>
      </c>
      <c r="J11" s="345">
        <v>1255.6666666666667</v>
      </c>
      <c r="K11" s="6">
        <v>2.2583932853717026</v>
      </c>
      <c r="L11" s="5">
        <v>1255.6666666666667</v>
      </c>
      <c r="M11" s="6">
        <v>2.2583932853717026</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1216</v>
      </c>
      <c r="C12" s="80" t="s">
        <v>1251</v>
      </c>
      <c r="D12" s="4">
        <v>1</v>
      </c>
      <c r="E12" s="303">
        <v>1</v>
      </c>
      <c r="F12" s="303"/>
      <c r="G12" s="4">
        <v>66</v>
      </c>
      <c r="H12" s="4">
        <v>82</v>
      </c>
      <c r="I12" s="4">
        <v>629</v>
      </c>
      <c r="J12" s="345">
        <v>1359.3703703703704</v>
      </c>
      <c r="K12" s="6">
        <v>2.161161161161161</v>
      </c>
      <c r="L12" s="5">
        <v>1359.3703703703704</v>
      </c>
      <c r="M12" s="6">
        <v>2.161161161161161</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1216</v>
      </c>
      <c r="C13" s="80" t="s">
        <v>1252</v>
      </c>
      <c r="D13" s="4">
        <v>2</v>
      </c>
      <c r="E13" s="303">
        <v>1</v>
      </c>
      <c r="F13" s="303"/>
      <c r="G13" s="4">
        <v>98</v>
      </c>
      <c r="H13" s="4">
        <v>59.578947368421055</v>
      </c>
      <c r="I13" s="4">
        <v>729</v>
      </c>
      <c r="J13" s="345">
        <v>1464</v>
      </c>
      <c r="K13" s="6">
        <v>2.0082304526748973</v>
      </c>
      <c r="L13" s="5">
        <v>1464</v>
      </c>
      <c r="M13" s="6">
        <v>2.0082304526748973</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1216</v>
      </c>
      <c r="C14" s="80" t="s">
        <v>1253</v>
      </c>
      <c r="D14" s="4">
        <v>2</v>
      </c>
      <c r="E14" s="303">
        <v>2</v>
      </c>
      <c r="F14" s="303"/>
      <c r="G14" s="4">
        <v>52</v>
      </c>
      <c r="H14" s="4">
        <v>80.61904761904762</v>
      </c>
      <c r="I14" s="4">
        <v>745</v>
      </c>
      <c r="J14" s="345">
        <v>1530.1904761904761</v>
      </c>
      <c r="K14" s="6">
        <v>2.0539469479066796</v>
      </c>
      <c r="L14" s="5">
        <v>1530.1904761904761</v>
      </c>
      <c r="M14" s="6">
        <v>2.0539469479066796</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1216</v>
      </c>
      <c r="C15" s="80" t="s">
        <v>1254</v>
      </c>
      <c r="D15" s="4">
        <v>3</v>
      </c>
      <c r="E15" s="303">
        <v>1</v>
      </c>
      <c r="F15" s="303"/>
      <c r="G15" s="4">
        <v>15</v>
      </c>
      <c r="H15" s="4">
        <v>38.5</v>
      </c>
      <c r="I15" s="4">
        <v>800</v>
      </c>
      <c r="J15" s="345">
        <v>1894.8333333333333</v>
      </c>
      <c r="K15" s="6">
        <v>2.3685416666666668</v>
      </c>
      <c r="L15" s="5">
        <v>1894.8333333333333</v>
      </c>
      <c r="M15" s="6">
        <v>2.3685416666666668</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1217</v>
      </c>
      <c r="C16" s="80" t="s">
        <v>1255</v>
      </c>
      <c r="D16" s="4">
        <v>0</v>
      </c>
      <c r="E16" s="303">
        <v>1</v>
      </c>
      <c r="F16" s="303"/>
      <c r="G16" s="4">
        <v>32</v>
      </c>
      <c r="H16" s="4">
        <v>111.8125</v>
      </c>
      <c r="I16" s="4">
        <v>513</v>
      </c>
      <c r="J16" s="345">
        <v>966.578947368421</v>
      </c>
      <c r="K16" s="6">
        <v>1.8841694880476043</v>
      </c>
      <c r="L16" s="5">
        <v>954.5263157894736</v>
      </c>
      <c r="M16" s="6">
        <v>1.8606750795116447</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1217</v>
      </c>
      <c r="C17" s="80" t="s">
        <v>1256</v>
      </c>
      <c r="D17" s="4">
        <v>0</v>
      </c>
      <c r="E17" s="303">
        <v>1</v>
      </c>
      <c r="F17" s="303"/>
      <c r="G17" s="4">
        <v>37</v>
      </c>
      <c r="H17" s="4">
        <v>87.1</v>
      </c>
      <c r="I17" s="4">
        <v>513</v>
      </c>
      <c r="J17" s="345">
        <v>1069.7272727272727</v>
      </c>
      <c r="K17" s="6">
        <v>2.0852383483962433</v>
      </c>
      <c r="L17" s="5">
        <v>1056.2272727272727</v>
      </c>
      <c r="M17" s="6">
        <v>2.058922558922559</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1217</v>
      </c>
      <c r="C18" s="80" t="s">
        <v>1257</v>
      </c>
      <c r="D18" s="4">
        <v>2</v>
      </c>
      <c r="E18" s="303">
        <v>1</v>
      </c>
      <c r="F18" s="303"/>
      <c r="G18" s="4">
        <v>154</v>
      </c>
      <c r="H18" s="4">
        <v>41.21348314606742</v>
      </c>
      <c r="I18" s="4">
        <v>1026</v>
      </c>
      <c r="J18" s="345">
        <v>1389.7252747252746</v>
      </c>
      <c r="K18" s="6">
        <v>1.3545080650343808</v>
      </c>
      <c r="L18" s="5">
        <v>1362.1868131868132</v>
      </c>
      <c r="M18" s="6">
        <v>1.3276674592464066</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1217</v>
      </c>
      <c r="C19" s="80" t="s">
        <v>1258</v>
      </c>
      <c r="D19" s="4">
        <v>2</v>
      </c>
      <c r="E19" s="303">
        <v>1</v>
      </c>
      <c r="F19" s="303"/>
      <c r="G19" s="4">
        <v>43</v>
      </c>
      <c r="H19" s="4">
        <v>102.28</v>
      </c>
      <c r="I19" s="4">
        <v>1026</v>
      </c>
      <c r="J19" s="345">
        <v>1729</v>
      </c>
      <c r="K19" s="6">
        <v>1.6851851851851851</v>
      </c>
      <c r="L19" s="5">
        <v>1634.8</v>
      </c>
      <c r="M19" s="6">
        <v>1.593372319688109</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1217</v>
      </c>
      <c r="C20" s="80" t="s">
        <v>1259</v>
      </c>
      <c r="D20" s="4">
        <v>3</v>
      </c>
      <c r="E20" s="303">
        <v>1</v>
      </c>
      <c r="F20" s="303"/>
      <c r="G20" s="4">
        <v>59</v>
      </c>
      <c r="H20" s="4">
        <v>93.76470588235294</v>
      </c>
      <c r="I20" s="4">
        <v>1062</v>
      </c>
      <c r="J20" s="345">
        <v>1670</v>
      </c>
      <c r="K20" s="6">
        <v>1.5725047080979284</v>
      </c>
      <c r="L20" s="5">
        <v>1628.8857142857144</v>
      </c>
      <c r="M20" s="6">
        <v>1.53379069141781</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1217</v>
      </c>
      <c r="C21" s="80" t="s">
        <v>1260</v>
      </c>
      <c r="D21" s="4">
        <v>3</v>
      </c>
      <c r="E21" s="303">
        <v>1</v>
      </c>
      <c r="F21" s="303"/>
      <c r="G21" s="4">
        <v>10</v>
      </c>
      <c r="H21" s="4">
        <v>37.666666666666664</v>
      </c>
      <c r="I21" s="4">
        <v>1062</v>
      </c>
      <c r="J21" s="345">
        <v>1879</v>
      </c>
      <c r="K21" s="6">
        <v>1.7693032015065913</v>
      </c>
      <c r="L21" s="5">
        <v>1839</v>
      </c>
      <c r="M21" s="6">
        <v>1.731638418079096</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1218</v>
      </c>
      <c r="C22" s="80" t="s">
        <v>13</v>
      </c>
      <c r="D22" s="4">
        <v>0</v>
      </c>
      <c r="E22" s="303">
        <v>1</v>
      </c>
      <c r="F22" s="303"/>
      <c r="G22" s="4">
        <v>27</v>
      </c>
      <c r="H22" s="4">
        <v>43.111111111111114</v>
      </c>
      <c r="I22" s="4">
        <v>347</v>
      </c>
      <c r="J22" s="345">
        <v>1130.5555555555557</v>
      </c>
      <c r="K22" s="6">
        <v>3.2580851745116877</v>
      </c>
      <c r="L22" s="5">
        <v>1130.5555555555557</v>
      </c>
      <c r="M22" s="6">
        <v>3.2580851745116877</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1218</v>
      </c>
      <c r="C23" s="80" t="s">
        <v>1261</v>
      </c>
      <c r="D23" s="4">
        <v>0</v>
      </c>
      <c r="E23" s="303">
        <v>1</v>
      </c>
      <c r="F23" s="303"/>
      <c r="G23" s="4">
        <v>18</v>
      </c>
      <c r="H23" s="4">
        <v>99.5</v>
      </c>
      <c r="I23" s="4">
        <v>347</v>
      </c>
      <c r="J23" s="345">
        <v>1139</v>
      </c>
      <c r="K23" s="6">
        <v>3.282420749279539</v>
      </c>
      <c r="L23" s="5">
        <v>1139</v>
      </c>
      <c r="M23" s="6">
        <v>3.282420749279539</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1218</v>
      </c>
      <c r="C24" s="80" t="s">
        <v>1262</v>
      </c>
      <c r="D24" s="4">
        <v>1</v>
      </c>
      <c r="E24" s="303">
        <v>1</v>
      </c>
      <c r="F24" s="303"/>
      <c r="G24" s="4">
        <v>104</v>
      </c>
      <c r="H24" s="4">
        <v>40.55882352941177</v>
      </c>
      <c r="I24" s="4">
        <v>613</v>
      </c>
      <c r="J24" s="345">
        <v>1274.1176470588234</v>
      </c>
      <c r="K24" s="6">
        <v>2.0784953459360906</v>
      </c>
      <c r="L24" s="5">
        <v>1274.1176470588234</v>
      </c>
      <c r="M24" s="6">
        <v>2.0784953459360906</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1218</v>
      </c>
      <c r="C25" s="80" t="s">
        <v>1263</v>
      </c>
      <c r="D25" s="4">
        <v>1</v>
      </c>
      <c r="E25" s="303">
        <v>1</v>
      </c>
      <c r="F25" s="303"/>
      <c r="G25" s="4">
        <v>18</v>
      </c>
      <c r="H25" s="4">
        <v>16.666666666666668</v>
      </c>
      <c r="I25" s="4">
        <v>704</v>
      </c>
      <c r="J25" s="345">
        <v>1367.8333333333333</v>
      </c>
      <c r="K25" s="6">
        <v>1.9429450757575757</v>
      </c>
      <c r="L25" s="5">
        <v>1367.8333333333333</v>
      </c>
      <c r="M25" s="6">
        <v>1.9429450757575757</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1218</v>
      </c>
      <c r="C26" s="80" t="s">
        <v>1264</v>
      </c>
      <c r="D26" s="4">
        <v>2</v>
      </c>
      <c r="E26" s="303">
        <v>1</v>
      </c>
      <c r="F26" s="303"/>
      <c r="G26" s="4">
        <v>49</v>
      </c>
      <c r="H26" s="4">
        <v>51.4375</v>
      </c>
      <c r="I26" s="4">
        <v>742</v>
      </c>
      <c r="J26" s="345">
        <v>1444</v>
      </c>
      <c r="K26" s="6">
        <v>1.9460916442048517</v>
      </c>
      <c r="L26" s="5">
        <v>1444</v>
      </c>
      <c r="M26" s="6">
        <v>1.9460916442048517</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1219</v>
      </c>
      <c r="C27" s="80" t="s">
        <v>1265</v>
      </c>
      <c r="D27" s="4">
        <v>1</v>
      </c>
      <c r="E27" s="303">
        <v>1</v>
      </c>
      <c r="F27" s="303"/>
      <c r="G27" s="4">
        <v>51</v>
      </c>
      <c r="H27" s="4">
        <v>72.65625</v>
      </c>
      <c r="I27" s="4">
        <v>704</v>
      </c>
      <c r="J27" s="345">
        <v>1234.375</v>
      </c>
      <c r="K27" s="6">
        <v>1.7533735795454546</v>
      </c>
      <c r="L27" s="5">
        <v>1219</v>
      </c>
      <c r="M27" s="6">
        <v>1.7315340909090908</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1219</v>
      </c>
      <c r="C28" s="80" t="s">
        <v>1266</v>
      </c>
      <c r="D28" s="4">
        <v>1</v>
      </c>
      <c r="E28" s="303">
        <v>1</v>
      </c>
      <c r="F28" s="303"/>
      <c r="G28" s="4">
        <v>10</v>
      </c>
      <c r="H28" s="4">
        <v>44.25</v>
      </c>
      <c r="I28" s="4">
        <v>704</v>
      </c>
      <c r="J28" s="345">
        <v>1214.1666666666667</v>
      </c>
      <c r="K28" s="6">
        <v>1.7246685606060606</v>
      </c>
      <c r="L28" s="5">
        <v>1214.1666666666667</v>
      </c>
      <c r="M28" s="6">
        <v>1.7246685606060606</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1219</v>
      </c>
      <c r="C29" s="80" t="s">
        <v>1267</v>
      </c>
      <c r="D29" s="4">
        <v>2</v>
      </c>
      <c r="E29" s="303">
        <v>1</v>
      </c>
      <c r="F29" s="303"/>
      <c r="G29" s="4">
        <v>153</v>
      </c>
      <c r="H29" s="4">
        <v>88.76288659793815</v>
      </c>
      <c r="I29" s="4">
        <v>896</v>
      </c>
      <c r="J29" s="345">
        <v>1355.7731958762886</v>
      </c>
      <c r="K29" s="6">
        <v>1.5131397275405007</v>
      </c>
      <c r="L29" s="5">
        <v>1342.4123711340205</v>
      </c>
      <c r="M29" s="6">
        <v>1.4982280927835052</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1268</v>
      </c>
      <c r="D30" s="4">
        <v>2</v>
      </c>
      <c r="E30" s="303">
        <v>1</v>
      </c>
      <c r="F30" s="303"/>
      <c r="G30" s="4">
        <v>16</v>
      </c>
      <c r="H30" s="4">
        <v>58.44444444444444</v>
      </c>
      <c r="I30" s="4">
        <v>896</v>
      </c>
      <c r="J30" s="345">
        <v>1296.5</v>
      </c>
      <c r="K30" s="6">
        <v>1.4469866071428572</v>
      </c>
      <c r="L30" s="5">
        <v>1288.1</v>
      </c>
      <c r="M30" s="6">
        <v>1.437611607142857</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1219</v>
      </c>
      <c r="C31" s="80" t="s">
        <v>1269</v>
      </c>
      <c r="D31" s="4">
        <v>2</v>
      </c>
      <c r="E31" s="303">
        <v>1</v>
      </c>
      <c r="F31" s="303"/>
      <c r="G31" s="4">
        <v>14</v>
      </c>
      <c r="H31" s="4">
        <v>73</v>
      </c>
      <c r="I31" s="4">
        <v>896</v>
      </c>
      <c r="J31" s="345">
        <v>1374.4444444444443</v>
      </c>
      <c r="K31" s="6">
        <v>1.5339781746031746</v>
      </c>
      <c r="L31" s="5">
        <v>1357.2222222222222</v>
      </c>
      <c r="M31" s="6">
        <v>1.5147569444444444</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1219</v>
      </c>
      <c r="C32" s="80" t="s">
        <v>1271</v>
      </c>
      <c r="D32" s="4">
        <v>3</v>
      </c>
      <c r="E32" s="303">
        <v>1</v>
      </c>
      <c r="F32" s="303"/>
      <c r="G32" s="4">
        <v>69</v>
      </c>
      <c r="H32" s="4">
        <v>76.61363636363636</v>
      </c>
      <c r="I32" s="4">
        <v>1088</v>
      </c>
      <c r="J32" s="345">
        <v>1615.340909090909</v>
      </c>
      <c r="K32" s="6">
        <v>1.4846883355614973</v>
      </c>
      <c r="L32" s="5">
        <v>1603.3863636363637</v>
      </c>
      <c r="M32" s="6">
        <v>1.4737007018716577</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1219</v>
      </c>
      <c r="C33" s="80" t="s">
        <v>1272</v>
      </c>
      <c r="D33" s="4">
        <v>3</v>
      </c>
      <c r="E33" s="303">
        <v>1</v>
      </c>
      <c r="F33" s="303"/>
      <c r="G33" s="4">
        <v>6</v>
      </c>
      <c r="H33" s="4"/>
      <c r="I33" s="4">
        <v>1088</v>
      </c>
      <c r="J33" s="345">
        <v>1561.25</v>
      </c>
      <c r="K33" s="6">
        <v>1.4349724264705883</v>
      </c>
      <c r="L33" s="5">
        <v>1529.75</v>
      </c>
      <c r="M33" s="6">
        <v>1.4060202205882353</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1219</v>
      </c>
      <c r="C34" s="80" t="s">
        <v>1270</v>
      </c>
      <c r="D34" s="4">
        <v>3</v>
      </c>
      <c r="E34" s="303">
        <v>1</v>
      </c>
      <c r="F34" s="303"/>
      <c r="G34" s="4">
        <v>3</v>
      </c>
      <c r="H34" s="4">
        <v>63</v>
      </c>
      <c r="I34" s="4">
        <v>1088</v>
      </c>
      <c r="J34" s="345">
        <v>1565</v>
      </c>
      <c r="K34" s="6">
        <v>1.4384191176470589</v>
      </c>
      <c r="L34" s="5">
        <v>1544</v>
      </c>
      <c r="M34" s="6">
        <v>1.4191176470588236</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1220</v>
      </c>
      <c r="C35" s="80" t="s">
        <v>13</v>
      </c>
      <c r="D35" s="4">
        <v>0</v>
      </c>
      <c r="E35" s="303">
        <v>1</v>
      </c>
      <c r="F35" s="303"/>
      <c r="G35" s="4">
        <v>8</v>
      </c>
      <c r="H35" s="4">
        <v>140.25</v>
      </c>
      <c r="I35" s="4">
        <v>416</v>
      </c>
      <c r="J35" s="345">
        <v>1085</v>
      </c>
      <c r="K35" s="6">
        <v>2.608173076923077</v>
      </c>
      <c r="L35" s="5">
        <v>1085</v>
      </c>
      <c r="M35" s="6">
        <v>2.608173076923077</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1220</v>
      </c>
      <c r="C36" s="80" t="s">
        <v>1273</v>
      </c>
      <c r="D36" s="4">
        <v>0</v>
      </c>
      <c r="E36" s="303">
        <v>1</v>
      </c>
      <c r="F36" s="303"/>
      <c r="G36" s="4">
        <v>6</v>
      </c>
      <c r="H36" s="4">
        <v>80</v>
      </c>
      <c r="I36" s="4">
        <v>416</v>
      </c>
      <c r="J36" s="345">
        <v>1073.3333333333333</v>
      </c>
      <c r="K36" s="6">
        <v>2.5801282051282053</v>
      </c>
      <c r="L36" s="5">
        <v>1073.3333333333333</v>
      </c>
      <c r="M36" s="6">
        <v>2.5801282051282053</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1220</v>
      </c>
      <c r="C37" s="80" t="s">
        <v>1274</v>
      </c>
      <c r="D37" s="4">
        <v>0</v>
      </c>
      <c r="E37" s="303">
        <v>1</v>
      </c>
      <c r="F37" s="303"/>
      <c r="G37" s="4">
        <v>6</v>
      </c>
      <c r="H37" s="4">
        <v>37.666666666666664</v>
      </c>
      <c r="I37" s="4">
        <v>587</v>
      </c>
      <c r="J37" s="345">
        <v>1110.6666666666667</v>
      </c>
      <c r="K37" s="6">
        <v>1.892106757524134</v>
      </c>
      <c r="L37" s="5">
        <v>1110.6666666666667</v>
      </c>
      <c r="M37" s="6">
        <v>1.892106757524134</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1220</v>
      </c>
      <c r="C38" s="80" t="s">
        <v>1275</v>
      </c>
      <c r="D38" s="4">
        <v>1</v>
      </c>
      <c r="E38" s="303">
        <v>1</v>
      </c>
      <c r="F38" s="303"/>
      <c r="G38" s="4">
        <v>8</v>
      </c>
      <c r="H38" s="4">
        <v>98.25</v>
      </c>
      <c r="I38" s="4">
        <v>554</v>
      </c>
      <c r="J38" s="345">
        <v>1118</v>
      </c>
      <c r="K38" s="6">
        <v>2.0180505415162453</v>
      </c>
      <c r="L38" s="5">
        <v>1118</v>
      </c>
      <c r="M38" s="6">
        <v>2.0180505415162453</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1220</v>
      </c>
      <c r="C39" s="80" t="s">
        <v>1276</v>
      </c>
      <c r="D39" s="4">
        <v>1</v>
      </c>
      <c r="E39" s="303">
        <v>1</v>
      </c>
      <c r="F39" s="303"/>
      <c r="G39" s="4">
        <v>26</v>
      </c>
      <c r="H39" s="4">
        <v>48.857142857142854</v>
      </c>
      <c r="I39" s="4">
        <v>745</v>
      </c>
      <c r="J39" s="345">
        <v>1203.0714285714287</v>
      </c>
      <c r="K39" s="6">
        <v>1.6148609779482264</v>
      </c>
      <c r="L39" s="5">
        <v>1198.5714285714287</v>
      </c>
      <c r="M39" s="6">
        <v>1.6088207094918505</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t="s">
        <v>1220</v>
      </c>
      <c r="C40" s="80" t="s">
        <v>1277</v>
      </c>
      <c r="D40" s="4">
        <v>1</v>
      </c>
      <c r="E40" s="303">
        <v>1</v>
      </c>
      <c r="F40" s="303"/>
      <c r="G40" s="4">
        <v>7</v>
      </c>
      <c r="H40" s="4">
        <v>25</v>
      </c>
      <c r="I40" s="4">
        <v>745</v>
      </c>
      <c r="J40" s="345">
        <v>1316.25</v>
      </c>
      <c r="K40" s="6">
        <v>1.766778523489933</v>
      </c>
      <c r="L40" s="5">
        <v>1316.25</v>
      </c>
      <c r="M40" s="6">
        <v>1.766778523489933</v>
      </c>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t="s">
        <v>1220</v>
      </c>
      <c r="C41" s="80" t="s">
        <v>1278</v>
      </c>
      <c r="D41" s="4">
        <v>1</v>
      </c>
      <c r="E41" s="303">
        <v>1</v>
      </c>
      <c r="F41" s="303"/>
      <c r="G41" s="4">
        <v>2</v>
      </c>
      <c r="H41" s="4">
        <v>15</v>
      </c>
      <c r="I41" s="4">
        <v>745</v>
      </c>
      <c r="J41" s="345">
        <v>1295</v>
      </c>
      <c r="K41" s="6">
        <v>1.738255033557047</v>
      </c>
      <c r="L41" s="5">
        <v>1232</v>
      </c>
      <c r="M41" s="6">
        <v>1.6536912751677852</v>
      </c>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t="s">
        <v>1220</v>
      </c>
      <c r="C42" s="80" t="s">
        <v>1279</v>
      </c>
      <c r="D42" s="4">
        <v>2</v>
      </c>
      <c r="E42" s="303">
        <v>1</v>
      </c>
      <c r="F42" s="303"/>
      <c r="G42" s="4">
        <v>24</v>
      </c>
      <c r="H42" s="4">
        <v>63.69230769230769</v>
      </c>
      <c r="I42" s="4">
        <v>884.3846153846154</v>
      </c>
      <c r="J42" s="345">
        <v>1546.1538461538462</v>
      </c>
      <c r="K42" s="6">
        <v>1.7482821605636254</v>
      </c>
      <c r="L42" s="5">
        <v>1546.1538461538462</v>
      </c>
      <c r="M42" s="6">
        <v>1.7482821605636254</v>
      </c>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t="s">
        <v>1220</v>
      </c>
      <c r="C43" s="80" t="s">
        <v>1280</v>
      </c>
      <c r="D43" s="4">
        <v>2</v>
      </c>
      <c r="E43" s="303">
        <v>1</v>
      </c>
      <c r="F43" s="303"/>
      <c r="G43" s="4">
        <v>53</v>
      </c>
      <c r="H43" s="4">
        <v>37.32142857142857</v>
      </c>
      <c r="I43" s="4">
        <v>896</v>
      </c>
      <c r="J43" s="345">
        <v>1363.5714285714287</v>
      </c>
      <c r="K43" s="6">
        <v>1.5218431122448979</v>
      </c>
      <c r="L43" s="5">
        <v>1355.75</v>
      </c>
      <c r="M43" s="6">
        <v>1.5131138392857142</v>
      </c>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t="s">
        <v>1220</v>
      </c>
      <c r="C44" s="80" t="s">
        <v>1281</v>
      </c>
      <c r="D44" s="4">
        <v>2</v>
      </c>
      <c r="E44" s="303">
        <v>1</v>
      </c>
      <c r="F44" s="303"/>
      <c r="G44" s="4">
        <v>7</v>
      </c>
      <c r="H44" s="4">
        <v>93</v>
      </c>
      <c r="I44" s="4">
        <v>896</v>
      </c>
      <c r="J44" s="345">
        <v>1461.25</v>
      </c>
      <c r="K44" s="6">
        <v>1.630859375</v>
      </c>
      <c r="L44" s="5">
        <v>1461.25</v>
      </c>
      <c r="M44" s="6">
        <v>1.630859375</v>
      </c>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t="s">
        <v>1221</v>
      </c>
      <c r="C45" s="80" t="s">
        <v>1290</v>
      </c>
      <c r="D45" s="4">
        <v>0</v>
      </c>
      <c r="E45" s="303">
        <v>1</v>
      </c>
      <c r="F45" s="303"/>
      <c r="G45" s="4">
        <v>9</v>
      </c>
      <c r="H45" s="4">
        <v>118</v>
      </c>
      <c r="I45" s="4">
        <v>425</v>
      </c>
      <c r="J45" s="345">
        <v>909</v>
      </c>
      <c r="K45" s="6">
        <v>2.1388235294117646</v>
      </c>
      <c r="L45" s="5">
        <v>909</v>
      </c>
      <c r="M45" s="6">
        <v>2.1388235294117646</v>
      </c>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t="s">
        <v>1221</v>
      </c>
      <c r="C46" s="80" t="s">
        <v>1288</v>
      </c>
      <c r="D46" s="4">
        <v>0</v>
      </c>
      <c r="E46" s="303">
        <v>1</v>
      </c>
      <c r="F46" s="303"/>
      <c r="G46" s="4">
        <v>9</v>
      </c>
      <c r="H46" s="4">
        <v>73</v>
      </c>
      <c r="I46" s="4">
        <v>425</v>
      </c>
      <c r="J46" s="345">
        <v>909</v>
      </c>
      <c r="K46" s="6">
        <v>2.1388235294117646</v>
      </c>
      <c r="L46" s="5">
        <v>909</v>
      </c>
      <c r="M46" s="6">
        <v>2.1388235294117646</v>
      </c>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t="s">
        <v>1221</v>
      </c>
      <c r="C47" s="80" t="s">
        <v>1283</v>
      </c>
      <c r="D47" s="4">
        <v>0</v>
      </c>
      <c r="E47" s="303">
        <v>1</v>
      </c>
      <c r="F47" s="303"/>
      <c r="G47" s="4">
        <v>5</v>
      </c>
      <c r="H47" s="4">
        <v>85</v>
      </c>
      <c r="I47" s="4">
        <v>425</v>
      </c>
      <c r="J47" s="345">
        <v>899</v>
      </c>
      <c r="K47" s="6">
        <v>2.1152941176470588</v>
      </c>
      <c r="L47" s="5">
        <v>899</v>
      </c>
      <c r="M47" s="6">
        <v>2.1152941176470588</v>
      </c>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t="s">
        <v>1221</v>
      </c>
      <c r="C48" s="80" t="s">
        <v>1293</v>
      </c>
      <c r="D48" s="4">
        <v>0</v>
      </c>
      <c r="E48" s="303">
        <v>1</v>
      </c>
      <c r="F48" s="303"/>
      <c r="G48" s="4">
        <v>32</v>
      </c>
      <c r="H48" s="4">
        <v>142.71428571428572</v>
      </c>
      <c r="I48" s="4"/>
      <c r="J48" s="345">
        <v>992.8571428571429</v>
      </c>
      <c r="K48" s="6"/>
      <c r="L48" s="5">
        <v>992.8571428571429</v>
      </c>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t="s">
        <v>1221</v>
      </c>
      <c r="C49" s="80" t="s">
        <v>1300</v>
      </c>
      <c r="D49" s="4">
        <v>1</v>
      </c>
      <c r="E49" s="303">
        <v>1</v>
      </c>
      <c r="F49" s="303"/>
      <c r="G49" s="4">
        <v>5</v>
      </c>
      <c r="H49" s="4">
        <v>43</v>
      </c>
      <c r="I49" s="4">
        <v>493</v>
      </c>
      <c r="J49" s="345">
        <v>1099</v>
      </c>
      <c r="K49" s="6">
        <v>2.22920892494929</v>
      </c>
      <c r="L49" s="5">
        <v>1099</v>
      </c>
      <c r="M49" s="6">
        <v>2.22920892494929</v>
      </c>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t="s">
        <v>1221</v>
      </c>
      <c r="C50" s="80" t="s">
        <v>1301</v>
      </c>
      <c r="D50" s="4">
        <v>1</v>
      </c>
      <c r="E50" s="303">
        <v>1</v>
      </c>
      <c r="F50" s="303"/>
      <c r="G50" s="4">
        <v>9</v>
      </c>
      <c r="H50" s="4">
        <v>137</v>
      </c>
      <c r="I50" s="4">
        <v>507</v>
      </c>
      <c r="J50" s="345">
        <v>1119</v>
      </c>
      <c r="K50" s="6">
        <v>2.2071005917159763</v>
      </c>
      <c r="L50" s="5">
        <v>1119</v>
      </c>
      <c r="M50" s="6">
        <v>2.2071005917159763</v>
      </c>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t="s">
        <v>1221</v>
      </c>
      <c r="C51" s="80" t="s">
        <v>1297</v>
      </c>
      <c r="D51" s="4">
        <v>1</v>
      </c>
      <c r="E51" s="303">
        <v>1</v>
      </c>
      <c r="F51" s="303"/>
      <c r="G51" s="4">
        <v>5</v>
      </c>
      <c r="H51" s="4">
        <v>101</v>
      </c>
      <c r="I51" s="4">
        <v>496</v>
      </c>
      <c r="J51" s="345">
        <v>1119</v>
      </c>
      <c r="K51" s="6">
        <v>2.256048387096774</v>
      </c>
      <c r="L51" s="5">
        <v>1119</v>
      </c>
      <c r="M51" s="6">
        <v>2.256048387096774</v>
      </c>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t="s">
        <v>1221</v>
      </c>
      <c r="C52" s="80" t="s">
        <v>1306</v>
      </c>
      <c r="D52" s="4">
        <v>1</v>
      </c>
      <c r="E52" s="303">
        <v>1</v>
      </c>
      <c r="F52" s="303"/>
      <c r="G52" s="4">
        <v>5</v>
      </c>
      <c r="H52" s="4">
        <v>24</v>
      </c>
      <c r="I52" s="4">
        <v>518</v>
      </c>
      <c r="J52" s="345">
        <v>1109</v>
      </c>
      <c r="K52" s="6">
        <v>2.140926640926641</v>
      </c>
      <c r="L52" s="5">
        <v>1109</v>
      </c>
      <c r="M52" s="6">
        <v>2.140926640926641</v>
      </c>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t="s">
        <v>1221</v>
      </c>
      <c r="C53" s="80" t="s">
        <v>1317</v>
      </c>
      <c r="D53" s="4">
        <v>2</v>
      </c>
      <c r="E53" s="303">
        <v>1</v>
      </c>
      <c r="F53" s="303"/>
      <c r="G53" s="4">
        <v>5</v>
      </c>
      <c r="H53" s="4">
        <v>42</v>
      </c>
      <c r="I53" s="4">
        <v>825</v>
      </c>
      <c r="J53" s="345">
        <v>1275</v>
      </c>
      <c r="K53" s="6">
        <v>1.5454545454545454</v>
      </c>
      <c r="L53" s="5">
        <v>1275</v>
      </c>
      <c r="M53" s="6">
        <v>1.5454545454545454</v>
      </c>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t="s">
        <v>1222</v>
      </c>
      <c r="C54" s="80" t="s">
        <v>13</v>
      </c>
      <c r="D54" s="4">
        <v>0</v>
      </c>
      <c r="E54" s="303">
        <v>1</v>
      </c>
      <c r="F54" s="303"/>
      <c r="G54" s="4">
        <v>23</v>
      </c>
      <c r="H54" s="4">
        <v>89</v>
      </c>
      <c r="I54" s="4">
        <v>475</v>
      </c>
      <c r="J54" s="345">
        <v>800</v>
      </c>
      <c r="K54" s="6">
        <v>1.6842105263157894</v>
      </c>
      <c r="L54" s="5">
        <v>800</v>
      </c>
      <c r="M54" s="6">
        <v>1.6842105263157894</v>
      </c>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t="s">
        <v>1222</v>
      </c>
      <c r="C55" s="80" t="s">
        <v>269</v>
      </c>
      <c r="D55" s="4">
        <v>1</v>
      </c>
      <c r="E55" s="303">
        <v>1</v>
      </c>
      <c r="F55" s="303"/>
      <c r="G55" s="4">
        <v>34</v>
      </c>
      <c r="H55" s="4">
        <v>26</v>
      </c>
      <c r="I55" s="4">
        <v>600</v>
      </c>
      <c r="J55" s="345">
        <v>950</v>
      </c>
      <c r="K55" s="6">
        <v>1.5833333333333333</v>
      </c>
      <c r="L55" s="5">
        <v>950</v>
      </c>
      <c r="M55" s="6">
        <v>1.5833333333333333</v>
      </c>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t="s">
        <v>1222</v>
      </c>
      <c r="C56" s="80" t="s">
        <v>1318</v>
      </c>
      <c r="D56" s="4">
        <v>1</v>
      </c>
      <c r="E56" s="303">
        <v>1</v>
      </c>
      <c r="F56" s="303"/>
      <c r="G56" s="4">
        <v>12</v>
      </c>
      <c r="H56" s="4">
        <v>213</v>
      </c>
      <c r="I56" s="4">
        <v>650</v>
      </c>
      <c r="J56" s="345">
        <v>1000</v>
      </c>
      <c r="K56" s="6">
        <v>1.5384615384615385</v>
      </c>
      <c r="L56" s="5">
        <v>1000</v>
      </c>
      <c r="M56" s="6">
        <v>1.5384615384615385</v>
      </c>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t="s">
        <v>1222</v>
      </c>
      <c r="C57" s="80" t="s">
        <v>270</v>
      </c>
      <c r="D57" s="4">
        <v>2</v>
      </c>
      <c r="E57" s="303">
        <v>1</v>
      </c>
      <c r="F57" s="303"/>
      <c r="G57" s="4">
        <v>11</v>
      </c>
      <c r="H57" s="4">
        <v>26</v>
      </c>
      <c r="I57" s="4">
        <v>700</v>
      </c>
      <c r="J57" s="345">
        <v>1150</v>
      </c>
      <c r="K57" s="6">
        <v>1.6428571428571428</v>
      </c>
      <c r="L57" s="5">
        <v>1150</v>
      </c>
      <c r="M57" s="6">
        <v>1.6428571428571428</v>
      </c>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t="s">
        <v>1220</v>
      </c>
      <c r="I4" s="36" t="s">
        <v>1221</v>
      </c>
      <c r="J4" s="36" t="s">
        <v>1222</v>
      </c>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2043</v>
      </c>
      <c r="D7" s="11" t="s">
        <v>2044</v>
      </c>
      <c r="E7" s="11" t="s">
        <v>2045</v>
      </c>
      <c r="F7" s="11" t="s">
        <v>2046</v>
      </c>
      <c r="G7" s="11" t="s">
        <v>2047</v>
      </c>
      <c r="H7" s="11" t="s">
        <v>2048</v>
      </c>
      <c r="I7" s="11" t="s">
        <v>2049</v>
      </c>
      <c r="J7" s="11" t="s">
        <v>2050</v>
      </c>
      <c r="K7" s="11"/>
      <c r="L7" s="11"/>
      <c r="M7" s="11"/>
      <c r="N7" s="11"/>
      <c r="O7" s="11"/>
      <c r="P7" s="11"/>
      <c r="Q7" s="11"/>
      <c r="R7" s="11"/>
      <c r="S7" s="11"/>
      <c r="T7" s="11"/>
      <c r="U7" s="11"/>
      <c r="V7" s="11"/>
      <c r="W7" s="11"/>
    </row>
    <row r="8" spans="1:23">
      <c r="A8" s="23"/>
      <c r="B8" s="32" t="s">
        <v>246</v>
      </c>
      <c r="C8" s="12">
        <v>25</v>
      </c>
      <c r="D8" s="31">
        <v>30</v>
      </c>
      <c r="E8" s="31">
        <v>45</v>
      </c>
      <c r="F8" s="31">
        <v>25</v>
      </c>
      <c r="G8" s="31">
        <v>25</v>
      </c>
      <c r="H8" s="31">
        <v>35</v>
      </c>
      <c r="I8" s="31"/>
      <c r="J8" s="31">
        <v>40</v>
      </c>
      <c r="K8" s="11"/>
      <c r="L8" s="11"/>
      <c r="M8" s="11"/>
      <c r="N8" s="11"/>
      <c r="O8" s="11"/>
      <c r="P8" s="11"/>
      <c r="Q8" s="11"/>
      <c r="R8" s="11"/>
      <c r="S8" s="11"/>
      <c r="T8" s="11"/>
      <c r="U8" s="11"/>
      <c r="V8" s="11"/>
      <c r="W8" s="11"/>
    </row>
    <row r="9" spans="1:23">
      <c r="A9" s="23"/>
      <c r="B9" s="32" t="s">
        <v>247</v>
      </c>
      <c r="C9" s="12"/>
      <c r="D9" s="31"/>
      <c r="E9" s="31"/>
      <c r="F9" s="31"/>
      <c r="G9" s="31"/>
      <c r="H9" s="31">
        <v>300</v>
      </c>
      <c r="I9" s="31"/>
      <c r="J9" s="31"/>
      <c r="K9" s="11"/>
      <c r="L9" s="11"/>
      <c r="M9" s="11"/>
      <c r="N9" s="11"/>
      <c r="O9" s="11"/>
      <c r="P9" s="11"/>
      <c r="Q9" s="11"/>
      <c r="R9" s="11"/>
      <c r="S9" s="11"/>
      <c r="T9" s="11"/>
      <c r="U9" s="11"/>
      <c r="V9" s="11"/>
      <c r="W9" s="11"/>
    </row>
    <row r="10" spans="1:23">
      <c r="A10" s="23"/>
      <c r="B10" s="32" t="s">
        <v>248</v>
      </c>
      <c r="C10" s="12"/>
      <c r="D10" s="31"/>
      <c r="E10" s="31"/>
      <c r="F10" s="31"/>
      <c r="G10" s="31"/>
      <c r="H10" s="31"/>
      <c r="I10" s="31"/>
      <c r="J10" s="3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c r="D12" s="31">
        <v>50</v>
      </c>
      <c r="E12" s="31">
        <v>35</v>
      </c>
      <c r="F12" s="31">
        <v>25</v>
      </c>
      <c r="G12" s="31">
        <v>25</v>
      </c>
      <c r="H12" s="31">
        <v>20</v>
      </c>
      <c r="I12" s="31"/>
      <c r="J12" s="31"/>
      <c r="K12" s="11"/>
      <c r="L12" s="11"/>
      <c r="M12" s="11"/>
      <c r="N12" s="11"/>
      <c r="O12" s="11"/>
      <c r="P12" s="11"/>
      <c r="Q12" s="11"/>
      <c r="R12" s="11"/>
      <c r="S12" s="11"/>
      <c r="T12" s="11"/>
      <c r="U12" s="11"/>
      <c r="V12" s="11"/>
      <c r="W12" s="11"/>
    </row>
    <row r="13" spans="1:23">
      <c r="A13" s="23"/>
      <c r="B13" s="33" t="s">
        <v>254</v>
      </c>
      <c r="C13" s="12"/>
      <c r="D13" s="31">
        <v>50</v>
      </c>
      <c r="E13" s="31">
        <v>35</v>
      </c>
      <c r="F13" s="31">
        <v>25</v>
      </c>
      <c r="G13" s="31">
        <v>25</v>
      </c>
      <c r="H13" s="31">
        <v>20</v>
      </c>
      <c r="I13" s="31"/>
      <c r="J13" s="31"/>
      <c r="K13" s="11"/>
      <c r="L13" s="11"/>
      <c r="M13" s="11"/>
      <c r="N13" s="11"/>
      <c r="O13" s="11"/>
      <c r="P13" s="11"/>
      <c r="Q13" s="11"/>
      <c r="R13" s="11"/>
      <c r="S13" s="11"/>
      <c r="T13" s="11"/>
      <c r="U13" s="11"/>
      <c r="V13" s="11"/>
      <c r="W13" s="11"/>
    </row>
    <row r="14" spans="1:23">
      <c r="A14" s="23"/>
      <c r="B14" s="33" t="s">
        <v>255</v>
      </c>
      <c r="C14" s="12"/>
      <c r="D14" s="31">
        <v>250</v>
      </c>
      <c r="E14" s="31">
        <v>250</v>
      </c>
      <c r="F14" s="31">
        <v>350</v>
      </c>
      <c r="G14" s="31">
        <v>125</v>
      </c>
      <c r="H14" s="31">
        <v>300</v>
      </c>
      <c r="I14" s="31"/>
      <c r="J14" s="31">
        <v>300</v>
      </c>
      <c r="K14" s="11"/>
      <c r="L14" s="11"/>
      <c r="M14" s="11"/>
      <c r="N14" s="11"/>
      <c r="O14" s="11"/>
      <c r="P14" s="11"/>
      <c r="Q14" s="11"/>
      <c r="R14" s="11"/>
      <c r="S14" s="11"/>
      <c r="T14" s="11"/>
      <c r="U14" s="11"/>
      <c r="V14" s="11"/>
      <c r="W14" s="11"/>
    </row>
    <row r="15" spans="1:23">
      <c r="A15" s="23"/>
      <c r="B15" s="33" t="s">
        <v>256</v>
      </c>
      <c r="C15" s="12"/>
      <c r="D15" s="31">
        <v>250</v>
      </c>
      <c r="E15" s="31">
        <v>250</v>
      </c>
      <c r="F15" s="31">
        <v>350</v>
      </c>
      <c r="G15" s="31">
        <v>125</v>
      </c>
      <c r="H15" s="31">
        <v>300</v>
      </c>
      <c r="I15" s="31"/>
      <c r="J15" s="31">
        <v>300</v>
      </c>
      <c r="K15" s="11"/>
      <c r="L15" s="11"/>
      <c r="M15" s="11"/>
      <c r="N15" s="11"/>
      <c r="O15" s="11"/>
      <c r="P15" s="11"/>
      <c r="Q15" s="11"/>
      <c r="R15" s="11"/>
      <c r="S15" s="11"/>
      <c r="T15" s="11"/>
      <c r="U15" s="11"/>
      <c r="V15" s="11"/>
      <c r="W15" s="11"/>
    </row>
    <row r="16" spans="1:23">
      <c r="A16" s="23"/>
      <c r="B16" s="33" t="s">
        <v>257</v>
      </c>
      <c r="C16" s="12"/>
      <c r="D16" s="31">
        <v>250</v>
      </c>
      <c r="E16" s="31">
        <v>250</v>
      </c>
      <c r="F16" s="31"/>
      <c r="G16" s="31"/>
      <c r="H16" s="31"/>
      <c r="I16" s="31"/>
      <c r="J16" s="31"/>
      <c r="K16" s="11"/>
      <c r="L16" s="11"/>
      <c r="M16" s="11"/>
      <c r="N16" s="11"/>
      <c r="O16" s="11"/>
      <c r="P16" s="11"/>
      <c r="Q16" s="11"/>
      <c r="R16" s="11"/>
      <c r="S16" s="11"/>
      <c r="T16" s="11"/>
      <c r="U16" s="11"/>
      <c r="V16" s="11"/>
      <c r="W16" s="11"/>
    </row>
    <row r="17" spans="1:23">
      <c r="A17" s="23"/>
      <c r="B17" s="33" t="s">
        <v>258</v>
      </c>
      <c r="C17" s="12"/>
      <c r="D17" s="31">
        <v>250</v>
      </c>
      <c r="E17" s="31">
        <v>250</v>
      </c>
      <c r="F17" s="31"/>
      <c r="G17" s="31"/>
      <c r="H17" s="31"/>
      <c r="I17" s="31"/>
      <c r="J17" s="3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31"/>
      <c r="I19" s="31"/>
      <c r="J19" s="31"/>
      <c r="K19" s="11"/>
      <c r="L19" s="11"/>
      <c r="M19" s="11"/>
      <c r="N19" s="11"/>
      <c r="O19" s="11"/>
      <c r="P19" s="11"/>
      <c r="Q19" s="11"/>
      <c r="R19" s="11"/>
      <c r="S19" s="11"/>
      <c r="T19" s="11"/>
      <c r="U19" s="11"/>
      <c r="V19" s="11"/>
      <c r="W19" s="11"/>
    </row>
    <row r="20" spans="1:23">
      <c r="A20" s="23"/>
      <c r="B20" s="33" t="s">
        <v>274</v>
      </c>
      <c r="C20" s="12"/>
      <c r="D20" s="31"/>
      <c r="E20" s="31"/>
      <c r="F20" s="31"/>
      <c r="G20" s="31"/>
      <c r="H20" s="31"/>
      <c r="I20" s="31"/>
      <c r="J20" s="31"/>
      <c r="K20" s="11"/>
      <c r="L20" s="11"/>
      <c r="M20" s="11"/>
      <c r="N20" s="11"/>
      <c r="O20" s="11"/>
      <c r="P20" s="11"/>
      <c r="Q20" s="11"/>
      <c r="R20" s="11"/>
      <c r="S20" s="11"/>
      <c r="T20" s="11"/>
      <c r="U20" s="11"/>
      <c r="V20" s="11"/>
      <c r="W20" s="11"/>
    </row>
    <row r="21" spans="1:23">
      <c r="A21" s="23"/>
      <c r="B21" s="32" t="s">
        <v>275</v>
      </c>
      <c r="C21" s="12"/>
      <c r="D21" s="31"/>
      <c r="E21" s="31"/>
      <c r="F21" s="31"/>
      <c r="G21" s="31"/>
      <c r="H21" s="31"/>
      <c r="I21" s="31"/>
      <c r="J21" s="3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t="s">
        <v>1220</v>
      </c>
      <c r="I25" s="15" t="s">
        <v>1221</v>
      </c>
      <c r="J25" s="15" t="s">
        <v>1222</v>
      </c>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2043</v>
      </c>
      <c r="D28" s="10" t="s">
        <v>2044</v>
      </c>
      <c r="E28" s="10" t="s">
        <v>2045</v>
      </c>
      <c r="F28" s="10" t="s">
        <v>2046</v>
      </c>
      <c r="G28" s="10" t="s">
        <v>2047</v>
      </c>
      <c r="H28" s="10" t="s">
        <v>2048</v>
      </c>
      <c r="I28" s="10" t="s">
        <v>2049</v>
      </c>
      <c r="J28" s="10" t="s">
        <v>2050</v>
      </c>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t="s">
        <v>1220</v>
      </c>
      <c r="I58" s="15" t="s">
        <v>1221</v>
      </c>
      <c r="J58" s="15" t="s">
        <v>1222</v>
      </c>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2051</v>
      </c>
      <c r="D61" s="3" t="s">
        <v>2052</v>
      </c>
      <c r="E61" s="3" t="s">
        <v>2053</v>
      </c>
      <c r="F61" s="3" t="s">
        <v>2054</v>
      </c>
      <c r="G61" s="3" t="s">
        <v>2055</v>
      </c>
      <c r="H61" s="3" t="s">
        <v>2056</v>
      </c>
      <c r="I61" s="3" t="s">
        <v>2057</v>
      </c>
      <c r="J61" s="3" t="s">
        <v>2058</v>
      </c>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t="s">
        <v>1220</v>
      </c>
      <c r="I86" s="15" t="s">
        <v>1221</v>
      </c>
      <c r="J86" s="15" t="s">
        <v>1222</v>
      </c>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0.48580614213020573</v>
      </c>
      <c r="D89" s="18">
        <v>0.47931323773033024</v>
      </c>
      <c r="E89" s="18">
        <v>0.6249180325637074</v>
      </c>
      <c r="F89" s="18">
        <v>0.4532575736672673</v>
      </c>
      <c r="G89" s="18">
        <v>0.5661607188380432</v>
      </c>
      <c r="H89" s="18">
        <v>0.496874850173134</v>
      </c>
      <c r="I89" s="18">
        <v>0.5194121183771075</v>
      </c>
      <c r="J89" s="18">
        <v>0.326328623858658</v>
      </c>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2059</v>
      </c>
      <c r="D91" s="20" t="s">
        <v>2059</v>
      </c>
      <c r="E91" s="20" t="s">
        <v>2060</v>
      </c>
      <c r="F91" s="20" t="s">
        <v>2059</v>
      </c>
      <c r="G91" s="20" t="s">
        <v>2060</v>
      </c>
      <c r="H91" s="20" t="s">
        <v>2061</v>
      </c>
      <c r="I91" s="20" t="s">
        <v>2059</v>
      </c>
      <c r="J91" s="20" t="s">
        <v>2062</v>
      </c>
      <c r="K91" s="10"/>
      <c r="L91" s="10"/>
      <c r="M91" s="10"/>
      <c r="N91" s="10"/>
      <c r="O91" s="10"/>
      <c r="P91" s="10"/>
      <c r="Q91" s="10"/>
      <c r="R91" s="10"/>
      <c r="S91" s="10"/>
      <c r="T91" s="10"/>
      <c r="U91" s="10"/>
      <c r="V91" s="10"/>
      <c r="W91" s="10"/>
    </row>
    <row r="92" spans="2:23">
      <c r="B92" s="16" t="s">
        <v>174</v>
      </c>
      <c r="C92" s="19" t="s">
        <v>2061</v>
      </c>
      <c r="D92" s="20" t="s">
        <v>2059</v>
      </c>
      <c r="E92" s="20" t="s">
        <v>2063</v>
      </c>
      <c r="F92" s="20" t="s">
        <v>2059</v>
      </c>
      <c r="G92" s="20" t="s">
        <v>2064</v>
      </c>
      <c r="H92" s="20" t="s">
        <v>2061</v>
      </c>
      <c r="I92" s="20" t="s">
        <v>2060</v>
      </c>
      <c r="J92" s="20" t="s">
        <v>2061</v>
      </c>
      <c r="K92" s="10"/>
      <c r="L92" s="10"/>
      <c r="M92" s="10"/>
      <c r="N92" s="10"/>
      <c r="O92" s="10"/>
      <c r="P92" s="10"/>
      <c r="Q92" s="10"/>
      <c r="R92" s="10"/>
      <c r="S92" s="10"/>
      <c r="T92" s="10"/>
      <c r="U92" s="10"/>
      <c r="V92" s="10"/>
      <c r="W92" s="10"/>
    </row>
    <row r="93" spans="2:23">
      <c r="B93" s="16" t="s">
        <v>176</v>
      </c>
      <c r="C93" s="19" t="s">
        <v>2061</v>
      </c>
      <c r="D93" s="20" t="s">
        <v>2060</v>
      </c>
      <c r="E93" s="20" t="s">
        <v>2060</v>
      </c>
      <c r="F93" s="20" t="s">
        <v>2061</v>
      </c>
      <c r="G93" s="20" t="s">
        <v>2063</v>
      </c>
      <c r="H93" s="20" t="s">
        <v>2060</v>
      </c>
      <c r="I93" s="20" t="s">
        <v>2060</v>
      </c>
      <c r="J93" s="20" t="s">
        <v>2059</v>
      </c>
      <c r="K93" s="10"/>
      <c r="L93" s="10"/>
      <c r="M93" s="10"/>
      <c r="N93" s="10"/>
      <c r="O93" s="10"/>
      <c r="P93" s="10"/>
      <c r="Q93" s="10"/>
      <c r="R93" s="10"/>
      <c r="S93" s="10"/>
      <c r="T93" s="10"/>
      <c r="U93" s="10"/>
      <c r="V93" s="10"/>
      <c r="W93" s="10"/>
    </row>
    <row r="94" spans="2:23">
      <c r="B94" s="16" t="s">
        <v>178</v>
      </c>
      <c r="C94" s="19" t="s">
        <v>2060</v>
      </c>
      <c r="D94" s="20" t="s">
        <v>2061</v>
      </c>
      <c r="E94" s="20" t="s">
        <v>2063</v>
      </c>
      <c r="F94" s="20" t="s">
        <v>2061</v>
      </c>
      <c r="G94" s="20" t="s">
        <v>2060</v>
      </c>
      <c r="H94" s="20" t="s">
        <v>2064</v>
      </c>
      <c r="I94" s="20" t="s">
        <v>2064</v>
      </c>
      <c r="J94" s="20" t="s">
        <v>2064</v>
      </c>
      <c r="K94" s="10"/>
      <c r="L94" s="10"/>
      <c r="M94" s="10"/>
      <c r="N94" s="10"/>
      <c r="O94" s="10"/>
      <c r="P94" s="10"/>
      <c r="Q94" s="10"/>
      <c r="R94" s="10"/>
      <c r="S94" s="10"/>
      <c r="T94" s="10"/>
      <c r="U94" s="10"/>
      <c r="V94" s="10"/>
      <c r="W94" s="10"/>
    </row>
    <row r="95" spans="2:23">
      <c r="B95" s="16" t="s">
        <v>180</v>
      </c>
      <c r="C95" s="19" t="s">
        <v>2061</v>
      </c>
      <c r="D95" s="20" t="s">
        <v>2059</v>
      </c>
      <c r="E95" s="20" t="s">
        <v>2061</v>
      </c>
      <c r="F95" s="20" t="s">
        <v>2059</v>
      </c>
      <c r="G95" s="20" t="s">
        <v>2061</v>
      </c>
      <c r="H95" s="20" t="s">
        <v>2061</v>
      </c>
      <c r="I95" s="20" t="s">
        <v>2061</v>
      </c>
      <c r="J95" s="20" t="s">
        <v>2062</v>
      </c>
      <c r="K95" s="10"/>
      <c r="L95" s="10"/>
      <c r="M95" s="10"/>
      <c r="N95" s="10"/>
      <c r="O95" s="10"/>
      <c r="P95" s="10"/>
      <c r="Q95" s="10"/>
      <c r="R95" s="10"/>
      <c r="S95" s="10"/>
      <c r="T95" s="10"/>
      <c r="U95" s="10"/>
      <c r="V95" s="10"/>
      <c r="W95" s="10"/>
    </row>
    <row r="96" spans="2:23">
      <c r="B96" s="16" t="s">
        <v>182</v>
      </c>
      <c r="C96" s="19" t="s">
        <v>2064</v>
      </c>
      <c r="D96" s="20" t="s">
        <v>2064</v>
      </c>
      <c r="E96" s="20" t="s">
        <v>2064</v>
      </c>
      <c r="F96" s="20" t="s">
        <v>2064</v>
      </c>
      <c r="G96" s="20" t="s">
        <v>2064</v>
      </c>
      <c r="H96" s="20" t="s">
        <v>2064</v>
      </c>
      <c r="I96" s="20" t="s">
        <v>2064</v>
      </c>
      <c r="J96" s="20" t="s">
        <v>2064</v>
      </c>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2064</v>
      </c>
      <c r="D98" s="20" t="s">
        <v>2064</v>
      </c>
      <c r="E98" s="20" t="s">
        <v>2064</v>
      </c>
      <c r="F98" s="20" t="s">
        <v>2064</v>
      </c>
      <c r="G98" s="20" t="s">
        <v>2064</v>
      </c>
      <c r="H98" s="20" t="s">
        <v>2064</v>
      </c>
      <c r="I98" s="20" t="s">
        <v>2064</v>
      </c>
      <c r="J98" s="20" t="s">
        <v>2064</v>
      </c>
      <c r="K98" s="21"/>
      <c r="L98" s="21"/>
      <c r="M98" s="21"/>
      <c r="N98" s="21"/>
      <c r="O98" s="21"/>
      <c r="P98" s="21"/>
      <c r="Q98" s="21"/>
      <c r="R98" s="21"/>
      <c r="S98" s="21"/>
      <c r="T98" s="21"/>
      <c r="U98" s="21"/>
      <c r="V98" s="21"/>
      <c r="W98" s="21"/>
    </row>
    <row r="99" spans="2:23">
      <c r="B99" s="16" t="s">
        <v>187</v>
      </c>
      <c r="C99" s="19" t="s">
        <v>2064</v>
      </c>
      <c r="D99" s="20" t="s">
        <v>2060</v>
      </c>
      <c r="E99" s="20" t="s">
        <v>2064</v>
      </c>
      <c r="F99" s="20" t="s">
        <v>2064</v>
      </c>
      <c r="G99" s="20" t="s">
        <v>2064</v>
      </c>
      <c r="H99" s="20" t="s">
        <v>2064</v>
      </c>
      <c r="I99" s="20" t="s">
        <v>2064</v>
      </c>
      <c r="J99" s="20" t="s">
        <v>2064</v>
      </c>
      <c r="K99" s="10"/>
      <c r="L99" s="10"/>
      <c r="M99" s="10"/>
      <c r="N99" s="10"/>
      <c r="O99" s="10"/>
      <c r="P99" s="10"/>
      <c r="Q99" s="10"/>
      <c r="R99" s="10"/>
      <c r="S99" s="10"/>
      <c r="T99" s="10"/>
      <c r="U99" s="10"/>
      <c r="V99" s="10"/>
      <c r="W99" s="10"/>
    </row>
    <row r="100" spans="2:23">
      <c r="B100" s="16" t="s">
        <v>189</v>
      </c>
      <c r="C100" s="19" t="s">
        <v>2064</v>
      </c>
      <c r="D100" s="20" t="s">
        <v>2064</v>
      </c>
      <c r="E100" s="20" t="s">
        <v>2064</v>
      </c>
      <c r="F100" s="20" t="s">
        <v>2064</v>
      </c>
      <c r="G100" s="20" t="s">
        <v>2064</v>
      </c>
      <c r="H100" s="20" t="s">
        <v>2059</v>
      </c>
      <c r="I100" s="20" t="s">
        <v>2064</v>
      </c>
      <c r="J100" s="20" t="s">
        <v>2064</v>
      </c>
      <c r="K100" s="10"/>
      <c r="L100" s="10"/>
      <c r="M100" s="10"/>
      <c r="N100" s="10"/>
      <c r="O100" s="10"/>
      <c r="P100" s="10"/>
      <c r="Q100" s="10"/>
      <c r="R100" s="10"/>
      <c r="S100" s="10"/>
      <c r="T100" s="10"/>
      <c r="U100" s="10"/>
      <c r="V100" s="10"/>
      <c r="W100" s="10"/>
    </row>
    <row r="101" spans="2:23">
      <c r="B101" s="16" t="s">
        <v>191</v>
      </c>
      <c r="C101" s="19" t="s">
        <v>2064</v>
      </c>
      <c r="D101" s="20" t="s">
        <v>2064</v>
      </c>
      <c r="E101" s="20" t="s">
        <v>2064</v>
      </c>
      <c r="F101" s="20" t="s">
        <v>2061</v>
      </c>
      <c r="G101" s="20" t="s">
        <v>2064</v>
      </c>
      <c r="H101" s="20" t="s">
        <v>2064</v>
      </c>
      <c r="I101" s="20" t="s">
        <v>2064</v>
      </c>
      <c r="J101" s="20" t="s">
        <v>2064</v>
      </c>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1216</v>
      </c>
      <c r="C4" s="24" t="s">
        <v>2065</v>
      </c>
      <c r="D4" s="59" t="s">
        <v>2128</v>
      </c>
      <c r="E4" s="59" t="s">
        <v>2194</v>
      </c>
      <c r="F4" s="59" t="s">
        <v>1191</v>
      </c>
      <c r="G4" s="59" t="s">
        <v>2247</v>
      </c>
      <c r="H4" s="59" t="s">
        <v>2176</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1216</v>
      </c>
      <c r="C5" s="24" t="s">
        <v>2066</v>
      </c>
      <c r="D5" s="59" t="s">
        <v>2129</v>
      </c>
      <c r="E5" s="59" t="s">
        <v>2176</v>
      </c>
      <c r="G5" s="59" t="s">
        <v>2248</v>
      </c>
      <c r="H5" s="59" t="s">
        <v>2176</v>
      </c>
      <c r="I5" s="59" t="str" cm="1">
        <f t="array" aca="true" ref="I5" ca="true">IF(ISBLANK(INDIRECT("B"&amp;ROW())), "", INDIRECT("B"&amp;ROW()) &amp; " - " &amp; INDIRECT("J"&amp;ROW()))</f>
      </c>
      <c r="J5" s="59" t="str" cm="1">
        <f t="array" aca="true" ref="J5" ca="true">IF(INDIRECT("E"&amp;ROW())=0,"",IF(INDIRECT("H"&amp;ROW())=INDIRECT("E"&amp;ROW()),"Active","Expired"))</f>
      </c>
    </row>
    <row r="6" spans="2:10">
      <c r="B6" s="24" t="s">
        <v>1217</v>
      </c>
      <c r="C6" s="24" t="s">
        <v>2067</v>
      </c>
      <c r="D6" s="59" t="s">
        <v>2130</v>
      </c>
      <c r="E6" s="59" t="s">
        <v>2195</v>
      </c>
      <c r="G6" s="59" t="s">
        <v>2249</v>
      </c>
      <c r="H6" s="59" t="s">
        <v>2176</v>
      </c>
      <c r="I6" s="59" t="str" cm="1">
        <f t="array" aca="true" ref="I6" ca="true">IF(ISBLANK(INDIRECT("B"&amp;ROW())), "", INDIRECT("B"&amp;ROW()) &amp; " - " &amp; INDIRECT("J"&amp;ROW()))</f>
      </c>
      <c r="J6" s="59" t="str" cm="1">
        <f t="array" aca="true" ref="J6" ca="true">IF(INDIRECT("E"&amp;ROW())=0,"",IF(INDIRECT("H"&amp;ROW())=INDIRECT("E"&amp;ROW()),"Active","Expired"))</f>
      </c>
    </row>
    <row r="7" spans="2:10">
      <c r="B7" s="24" t="s">
        <v>1217</v>
      </c>
      <c r="C7" s="24" t="s">
        <v>2068</v>
      </c>
      <c r="D7" s="59" t="s">
        <v>2131</v>
      </c>
      <c r="E7" s="59" t="s">
        <v>2196</v>
      </c>
      <c r="G7" s="59" t="s">
        <v>2250</v>
      </c>
      <c r="H7" s="59" t="s">
        <v>2176</v>
      </c>
      <c r="I7" s="59" t="str" cm="1">
        <f t="array" aca="true" ref="I7" ca="true">IF(ISBLANK(INDIRECT("B"&amp;ROW())), "", INDIRECT("B"&amp;ROW()) &amp; " - " &amp; INDIRECT("J"&amp;ROW()))</f>
      </c>
      <c r="J7" s="59" t="str" cm="1">
        <f t="array" aca="true" ref="J7" ca="true">IF(INDIRECT("E"&amp;ROW())=0,"",IF(INDIRECT("H"&amp;ROW())=INDIRECT("E"&amp;ROW()),"Active","Expired"))</f>
      </c>
    </row>
    <row r="8" spans="2:10">
      <c r="B8" s="24" t="s">
        <v>1217</v>
      </c>
      <c r="C8" s="24" t="s">
        <v>2069</v>
      </c>
      <c r="D8" s="59" t="s">
        <v>2132</v>
      </c>
      <c r="E8" s="59" t="s">
        <v>2197</v>
      </c>
      <c r="G8" s="59" t="s">
        <v>2250</v>
      </c>
      <c r="H8" s="59" t="s">
        <v>2176</v>
      </c>
      <c r="I8" s="59" t="str" cm="1">
        <f t="array" aca="true" ref="I8" ca="true">IF(ISBLANK(INDIRECT("B"&amp;ROW())), "", INDIRECT("B"&amp;ROW()) &amp; " - " &amp; INDIRECT("J"&amp;ROW()))</f>
      </c>
      <c r="J8" s="59" t="str" cm="1">
        <f t="array" aca="true" ref="J8" ca="true">IF(INDIRECT("E"&amp;ROW())=0,"",IF(INDIRECT("H"&amp;ROW())=INDIRECT("E"&amp;ROW()),"Active","Expired"))</f>
      </c>
    </row>
    <row r="9" spans="2:10">
      <c r="B9" s="24" t="s">
        <v>1217</v>
      </c>
      <c r="C9" s="24" t="s">
        <v>2070</v>
      </c>
      <c r="D9" s="59" t="s">
        <v>2133</v>
      </c>
      <c r="E9" s="59" t="s">
        <v>2198</v>
      </c>
      <c r="G9" s="59" t="s">
        <v>2251</v>
      </c>
      <c r="H9" s="59" t="s">
        <v>2176</v>
      </c>
      <c r="I9" s="59" t="str" cm="1">
        <f t="array" aca="true" ref="I9" ca="true">IF(ISBLANK(INDIRECT("B"&amp;ROW())), "", INDIRECT("B"&amp;ROW()) &amp; " - " &amp; INDIRECT("J"&amp;ROW()))</f>
      </c>
      <c r="J9" s="59" t="str" cm="1">
        <f t="array" aca="true" ref="J9" ca="true">IF(INDIRECT("E"&amp;ROW())=0,"",IF(INDIRECT("H"&amp;ROW())=INDIRECT("E"&amp;ROW()),"Active","Expired"))</f>
      </c>
    </row>
    <row r="10" spans="2:10">
      <c r="B10" s="24" t="s">
        <v>1217</v>
      </c>
      <c r="C10" s="24" t="s">
        <v>2071</v>
      </c>
      <c r="D10" s="59" t="s">
        <v>2134</v>
      </c>
      <c r="E10" s="59" t="s">
        <v>2199</v>
      </c>
      <c r="G10" s="59" t="s">
        <v>2201</v>
      </c>
      <c r="H10" s="59" t="s">
        <v>2176</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1217</v>
      </c>
      <c r="C11" s="24" t="s">
        <v>2072</v>
      </c>
      <c r="D11" s="59" t="s">
        <v>2135</v>
      </c>
      <c r="E11" s="59" t="s">
        <v>2200</v>
      </c>
      <c r="G11" s="59" t="s">
        <v>2202</v>
      </c>
      <c r="H11" s="59" t="s">
        <v>2176</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1217</v>
      </c>
      <c r="C12" s="24" t="s">
        <v>2073</v>
      </c>
      <c r="D12" s="59" t="s">
        <v>2136</v>
      </c>
      <c r="E12" s="59" t="s">
        <v>2201</v>
      </c>
      <c r="G12" s="59" t="s">
        <v>2203</v>
      </c>
      <c r="H12" s="59" t="s">
        <v>2176</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1217</v>
      </c>
      <c r="C13" s="24" t="s">
        <v>2074</v>
      </c>
      <c r="D13" s="59" t="s">
        <v>2137</v>
      </c>
      <c r="E13" s="59" t="s">
        <v>2202</v>
      </c>
      <c r="G13" s="59" t="s">
        <v>2153</v>
      </c>
      <c r="H13" s="59" t="s">
        <v>2176</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1217</v>
      </c>
      <c r="C14" s="24" t="s">
        <v>2075</v>
      </c>
      <c r="D14" s="59" t="s">
        <v>2138</v>
      </c>
      <c r="E14" s="59" t="s">
        <v>2203</v>
      </c>
      <c r="G14" s="59" t="s">
        <v>2153</v>
      </c>
      <c r="H14" s="59" t="s">
        <v>2176</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1217</v>
      </c>
      <c r="C15" s="24" t="s">
        <v>2076</v>
      </c>
      <c r="D15" s="59" t="s">
        <v>2139</v>
      </c>
      <c r="E15" s="59" t="s">
        <v>2204</v>
      </c>
      <c r="G15" s="59" t="s">
        <v>2252</v>
      </c>
      <c r="H15" s="59" t="s">
        <v>2176</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1217</v>
      </c>
      <c r="C16" s="24" t="s">
        <v>2077</v>
      </c>
      <c r="D16" s="59" t="s">
        <v>2140</v>
      </c>
      <c r="E16" s="59" t="s">
        <v>2205</v>
      </c>
      <c r="G16" s="59" t="s">
        <v>2252</v>
      </c>
      <c r="H16" s="59" t="s">
        <v>2176</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1217</v>
      </c>
      <c r="C17" s="24" t="s">
        <v>2078</v>
      </c>
      <c r="D17" s="59" t="s">
        <v>2141</v>
      </c>
      <c r="E17" s="59" t="s">
        <v>2206</v>
      </c>
      <c r="G17" s="59" t="s">
        <v>2253</v>
      </c>
      <c r="H17" s="59" t="s">
        <v>2176</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1217</v>
      </c>
      <c r="C18" s="24" t="s">
        <v>2079</v>
      </c>
      <c r="D18" s="59" t="s">
        <v>2142</v>
      </c>
      <c r="E18" s="59" t="s">
        <v>2207</v>
      </c>
      <c r="G18" s="59" t="s">
        <v>2253</v>
      </c>
      <c r="H18" s="59" t="s">
        <v>2176</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1217</v>
      </c>
      <c r="C19" s="24" t="s">
        <v>2079</v>
      </c>
      <c r="D19" s="59" t="s">
        <v>2143</v>
      </c>
      <c r="E19" s="59" t="s">
        <v>2208</v>
      </c>
      <c r="G19" s="59" t="s">
        <v>2253</v>
      </c>
      <c r="H19" s="59" t="s">
        <v>2176</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1217</v>
      </c>
      <c r="C20" s="24" t="s">
        <v>2080</v>
      </c>
      <c r="D20" s="59" t="s">
        <v>2144</v>
      </c>
      <c r="E20" s="59" t="s">
        <v>2144</v>
      </c>
      <c r="G20" s="59" t="s">
        <v>2191</v>
      </c>
      <c r="H20" s="59" t="s">
        <v>2176</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1217</v>
      </c>
      <c r="C21" s="24" t="s">
        <v>2081</v>
      </c>
      <c r="D21" s="59" t="s">
        <v>2145</v>
      </c>
      <c r="E21" s="59" t="s">
        <v>2209</v>
      </c>
      <c r="G21" s="59" t="s">
        <v>2254</v>
      </c>
      <c r="H21" s="59" t="s">
        <v>2176</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1217</v>
      </c>
      <c r="C22" s="24" t="s">
        <v>2082</v>
      </c>
      <c r="D22" s="59" t="s">
        <v>2146</v>
      </c>
      <c r="E22" s="59" t="s">
        <v>2210</v>
      </c>
      <c r="G22" s="59" t="s">
        <v>2254</v>
      </c>
      <c r="H22" s="59" t="s">
        <v>2176</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1217</v>
      </c>
      <c r="C23" s="24" t="s">
        <v>2083</v>
      </c>
      <c r="D23" s="59" t="s">
        <v>2147</v>
      </c>
      <c r="E23" s="59" t="s">
        <v>2192</v>
      </c>
      <c r="G23" s="59" t="s">
        <v>2255</v>
      </c>
      <c r="H23" s="59" t="s">
        <v>2176</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1217</v>
      </c>
      <c r="C24" s="24" t="s">
        <v>2084</v>
      </c>
      <c r="D24" s="59" t="s">
        <v>2148</v>
      </c>
      <c r="E24" s="59" t="s">
        <v>2211</v>
      </c>
      <c r="G24" s="59"/>
      <c r="H24" s="59" t="s">
        <v>2176</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1217</v>
      </c>
      <c r="C25" s="24" t="s">
        <v>2084</v>
      </c>
      <c r="D25" s="59" t="s">
        <v>2149</v>
      </c>
      <c r="E25" s="59" t="s">
        <v>2212</v>
      </c>
      <c r="G25" s="59" t="s">
        <v>2256</v>
      </c>
      <c r="H25" s="59" t="s">
        <v>2176</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1217</v>
      </c>
      <c r="C26" s="24" t="s">
        <v>2085</v>
      </c>
      <c r="D26" s="59" t="s">
        <v>2150</v>
      </c>
      <c r="E26" s="59" t="s">
        <v>2176</v>
      </c>
      <c r="G26" s="59" t="s">
        <v>2256</v>
      </c>
      <c r="H26" s="59" t="s">
        <v>2176</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1218</v>
      </c>
      <c r="C27" s="24" t="s">
        <v>2086</v>
      </c>
      <c r="D27" s="59" t="s">
        <v>2151</v>
      </c>
      <c r="E27" s="59" t="s">
        <v>2151</v>
      </c>
      <c r="G27" s="59" t="s">
        <v>2256</v>
      </c>
      <c r="H27" s="59" t="s">
        <v>2176</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1218</v>
      </c>
      <c r="C28" s="24" t="s">
        <v>2087</v>
      </c>
      <c r="D28" s="59" t="s">
        <v>2152</v>
      </c>
      <c r="E28" s="59" t="s">
        <v>2213</v>
      </c>
      <c r="G28" s="59" t="s">
        <v>2257</v>
      </c>
      <c r="H28" s="59" t="s">
        <v>2176</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1218</v>
      </c>
      <c r="C29" s="24" t="s">
        <v>2088</v>
      </c>
      <c r="D29" s="59" t="s">
        <v>2153</v>
      </c>
      <c r="E29" s="59" t="s">
        <v>2176</v>
      </c>
      <c r="G29" s="59"/>
      <c r="H29" s="59" t="s">
        <v>2176</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1219</v>
      </c>
      <c r="C30" s="24" t="s">
        <v>2089</v>
      </c>
      <c r="D30" s="59" t="s">
        <v>2154</v>
      </c>
      <c r="E30" s="59" t="s">
        <v>2214</v>
      </c>
      <c r="G30" s="59" t="s">
        <v>2257</v>
      </c>
      <c r="H30" s="59" t="s">
        <v>2176</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1219</v>
      </c>
      <c r="C31" s="24" t="s">
        <v>2090</v>
      </c>
      <c r="D31" s="59" t="s">
        <v>2155</v>
      </c>
      <c r="E31" s="59" t="s">
        <v>2155</v>
      </c>
      <c r="G31" s="59" t="s">
        <v>2258</v>
      </c>
      <c r="H31" s="59" t="s">
        <v>2176</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1219</v>
      </c>
      <c r="C32" s="24" t="s">
        <v>2091</v>
      </c>
      <c r="D32" s="59" t="s">
        <v>2156</v>
      </c>
      <c r="E32" s="59" t="s">
        <v>2215</v>
      </c>
      <c r="G32" s="59" t="s">
        <v>2258</v>
      </c>
      <c r="H32" s="59" t="s">
        <v>2176</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1219</v>
      </c>
      <c r="C33" s="24" t="s">
        <v>2092</v>
      </c>
      <c r="D33" s="59" t="s">
        <v>2157</v>
      </c>
      <c r="E33" s="59" t="s">
        <v>2216</v>
      </c>
      <c r="G33" s="59" t="s">
        <v>2258</v>
      </c>
      <c r="H33" s="59" t="s">
        <v>2176</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1219</v>
      </c>
      <c r="C34" s="24" t="s">
        <v>2093</v>
      </c>
      <c r="D34" s="59" t="s">
        <v>2158</v>
      </c>
      <c r="E34" s="59" t="s">
        <v>2217</v>
      </c>
      <c r="G34" s="59" t="s">
        <v>2247</v>
      </c>
      <c r="H34" s="59" t="s">
        <v>2176</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1219</v>
      </c>
      <c r="C35" s="24" t="s">
        <v>2094</v>
      </c>
      <c r="D35" s="59" t="s">
        <v>2159</v>
      </c>
      <c r="E35" s="59" t="s">
        <v>2218</v>
      </c>
      <c r="G35" s="59" t="s">
        <v>2178</v>
      </c>
      <c r="H35" s="59" t="s">
        <v>2176</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1219</v>
      </c>
      <c r="C36" s="24" t="s">
        <v>2095</v>
      </c>
      <c r="D36" s="59" t="s">
        <v>2160</v>
      </c>
      <c r="E36" s="59" t="s">
        <v>2219</v>
      </c>
      <c r="G36" s="59" t="s">
        <v>2222</v>
      </c>
      <c r="H36" s="59" t="s">
        <v>2176</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1219</v>
      </c>
      <c r="C37" s="24" t="s">
        <v>2096</v>
      </c>
      <c r="D37" s="59" t="s">
        <v>2161</v>
      </c>
      <c r="E37" s="59" t="s">
        <v>2220</v>
      </c>
      <c r="G37" s="59"/>
      <c r="H37" s="59" t="s">
        <v>2176</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1219</v>
      </c>
      <c r="C38" s="24" t="s">
        <v>2097</v>
      </c>
      <c r="D38" s="59" t="s">
        <v>2162</v>
      </c>
      <c r="E38" s="59" t="s">
        <v>2221</v>
      </c>
      <c r="G38" s="59"/>
      <c r="H38" s="59" t="s">
        <v>2176</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1219</v>
      </c>
      <c r="C39" s="24" t="s">
        <v>2098</v>
      </c>
      <c r="D39" s="59" t="s">
        <v>2163</v>
      </c>
      <c r="E39" s="59" t="s">
        <v>2195</v>
      </c>
      <c r="G39" s="59" t="s">
        <v>2224</v>
      </c>
      <c r="H39" s="59" t="s">
        <v>2176</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1219</v>
      </c>
      <c r="C40" s="24" t="s">
        <v>2099</v>
      </c>
      <c r="D40" s="59" t="s">
        <v>2164</v>
      </c>
      <c r="E40" s="59" t="s">
        <v>2178</v>
      </c>
      <c r="G40" s="59" t="s">
        <v>2259</v>
      </c>
      <c r="H40" s="59" t="s">
        <v>2176</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1219</v>
      </c>
      <c r="C41" s="24" t="s">
        <v>2100</v>
      </c>
      <c r="D41" s="59" t="s">
        <v>2135</v>
      </c>
      <c r="E41" s="59" t="s">
        <v>2222</v>
      </c>
      <c r="G41" s="59" t="s">
        <v>2259</v>
      </c>
      <c r="H41" s="59" t="s">
        <v>2176</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1219</v>
      </c>
      <c r="C42" s="24" t="s">
        <v>2101</v>
      </c>
      <c r="D42" s="59" t="s">
        <v>2165</v>
      </c>
      <c r="E42" s="59" t="s">
        <v>2223</v>
      </c>
      <c r="G42" s="59" t="s">
        <v>2259</v>
      </c>
      <c r="H42" s="59" t="s">
        <v>2176</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1219</v>
      </c>
      <c r="C43" s="24" t="s">
        <v>2102</v>
      </c>
      <c r="D43" s="59" t="s">
        <v>2166</v>
      </c>
      <c r="E43" s="59" t="s">
        <v>2207</v>
      </c>
      <c r="G43" s="59" t="s">
        <v>2260</v>
      </c>
      <c r="H43" s="59" t="s">
        <v>2176</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1219</v>
      </c>
      <c r="C44" s="24" t="s">
        <v>2102</v>
      </c>
      <c r="D44" s="59" t="s">
        <v>2143</v>
      </c>
      <c r="E44" s="59" t="s">
        <v>2144</v>
      </c>
      <c r="G44" s="59" t="s">
        <v>2260</v>
      </c>
      <c r="H44" s="59" t="s">
        <v>2176</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1219</v>
      </c>
      <c r="C45" s="24" t="s">
        <v>2103</v>
      </c>
      <c r="D45" s="59" t="s">
        <v>2167</v>
      </c>
      <c r="E45" s="59" t="s">
        <v>2224</v>
      </c>
      <c r="G45" s="59" t="s">
        <v>2255</v>
      </c>
      <c r="H45" s="59" t="s">
        <v>2176</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1219</v>
      </c>
      <c r="C46" s="24" t="s">
        <v>2104</v>
      </c>
      <c r="D46" s="59" t="s">
        <v>2168</v>
      </c>
      <c r="E46" s="59" t="s">
        <v>2225</v>
      </c>
      <c r="G46" s="59" t="s">
        <v>2260</v>
      </c>
      <c r="H46" s="59" t="s">
        <v>2176</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1219</v>
      </c>
      <c r="C47" s="24" t="s">
        <v>2105</v>
      </c>
      <c r="D47" s="59" t="s">
        <v>2169</v>
      </c>
      <c r="E47" s="59" t="s">
        <v>2226</v>
      </c>
      <c r="G47" s="59" t="s">
        <v>2255</v>
      </c>
      <c r="H47" s="59" t="s">
        <v>2176</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1219</v>
      </c>
      <c r="C48" s="24" t="s">
        <v>2106</v>
      </c>
      <c r="D48" s="59" t="s">
        <v>2170</v>
      </c>
      <c r="E48" s="59" t="s">
        <v>2227</v>
      </c>
      <c r="G48" s="59" t="s">
        <v>2261</v>
      </c>
      <c r="H48" s="59" t="s">
        <v>2176</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1219</v>
      </c>
      <c r="C49" s="24" t="s">
        <v>2107</v>
      </c>
      <c r="D49" s="59" t="s">
        <v>2171</v>
      </c>
      <c r="E49" s="59" t="s">
        <v>2228</v>
      </c>
      <c r="G49" s="59"/>
      <c r="H49" s="59" t="s">
        <v>2176</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1219</v>
      </c>
      <c r="C50" s="24" t="s">
        <v>2107</v>
      </c>
      <c r="D50" s="59" t="s">
        <v>2172</v>
      </c>
      <c r="E50" s="59" t="s">
        <v>2229</v>
      </c>
      <c r="G50" s="59"/>
      <c r="H50" s="59" t="s">
        <v>2176</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1219</v>
      </c>
      <c r="C51" s="24" t="s">
        <v>2108</v>
      </c>
      <c r="D51" s="59" t="s">
        <v>2173</v>
      </c>
      <c r="E51" s="59" t="s">
        <v>2230</v>
      </c>
      <c r="G51" s="59"/>
      <c r="H51" s="59" t="s">
        <v>2176</v>
      </c>
      <c r="I51" s="59" t="str" cm="1">
        <f t="array" aca="true" ref="I51" ca="true">IF(ISBLANK(INDIRECT("B"&amp;ROW())), "", INDIRECT("B"&amp;ROW()) &amp; " - " &amp; INDIRECT("J"&amp;ROW()))</f>
      </c>
      <c r="J51" s="59" t="str" cm="1">
        <f t="array" aca="true" ref="J51" ca="true">IF(INDIRECT("E"&amp;ROW())=0,"",IF(INDIRECT("H"&amp;ROW())=INDIRECT("E"&amp;ROW()),"Active","Expired"))</f>
      </c>
    </row>
    <row r="52" spans="9:10">
      <c r="B52" s="24" t="s">
        <v>1219</v>
      </c>
      <c r="C52" s="24" t="s">
        <v>2107</v>
      </c>
      <c r="D52" s="59" t="s">
        <v>2174</v>
      </c>
      <c r="E52" s="59" t="s">
        <v>2231</v>
      </c>
      <c r="G52" s="59"/>
      <c r="H52" s="59" t="s">
        <v>2176</v>
      </c>
      <c r="I52" s="59" t="str" cm="1">
        <f t="array" aca="true" ref="I52" ca="true">IF(ISBLANK(INDIRECT("B"&amp;ROW())), "", INDIRECT("B"&amp;ROW()) &amp; " - " &amp; INDIRECT("J"&amp;ROW()))</f>
      </c>
      <c r="J52" s="59" t="str" cm="1">
        <f t="array" aca="true" ref="J52" ca="true">IF(INDIRECT("E"&amp;ROW())=0,"",IF(INDIRECT("H"&amp;ROW())=INDIRECT("E"&amp;ROW()),"Active","Expired"))</f>
      </c>
    </row>
    <row r="53" spans="9:10">
      <c r="B53" s="24" t="s">
        <v>1219</v>
      </c>
      <c r="C53" s="24" t="s">
        <v>2108</v>
      </c>
      <c r="D53" s="59" t="s">
        <v>2175</v>
      </c>
      <c r="E53" s="59" t="s">
        <v>2232</v>
      </c>
      <c r="G53" s="59" t="s">
        <v>2262</v>
      </c>
      <c r="H53" s="59" t="s">
        <v>2176</v>
      </c>
      <c r="I53" s="59" t="str" cm="1">
        <f t="array" aca="true" ref="I53" ca="true">IF(ISBLANK(INDIRECT("B"&amp;ROW())), "", INDIRECT("B"&amp;ROW()) &amp; " - " &amp; INDIRECT("J"&amp;ROW()))</f>
      </c>
      <c r="J53" s="59" t="str" cm="1">
        <f t="array" aca="true" ref="J53" ca="true">IF(INDIRECT("E"&amp;ROW())=0,"",IF(INDIRECT("H"&amp;ROW())=INDIRECT("E"&amp;ROW()),"Active","Expired"))</f>
      </c>
    </row>
    <row r="54" spans="9:10">
      <c r="B54" s="24" t="s">
        <v>1219</v>
      </c>
      <c r="C54" s="24" t="s">
        <v>2109</v>
      </c>
      <c r="D54" s="59" t="s">
        <v>2176</v>
      </c>
      <c r="E54" s="59" t="s">
        <v>2176</v>
      </c>
      <c r="G54" s="59" t="s">
        <v>2263</v>
      </c>
      <c r="H54" s="59" t="s">
        <v>2176</v>
      </c>
      <c r="I54" s="59" t="str" cm="1">
        <f t="array" aca="true" ref="I54" ca="true">IF(ISBLANK(INDIRECT("B"&amp;ROW())), "", INDIRECT("B"&amp;ROW()) &amp; " - " &amp; INDIRECT("J"&amp;ROW()))</f>
      </c>
      <c r="J54" s="59" t="str" cm="1">
        <f t="array" aca="true" ref="J54" ca="true">IF(INDIRECT("E"&amp;ROW())=0,"",IF(INDIRECT("H"&amp;ROW())=INDIRECT("E"&amp;ROW()),"Active","Expired"))</f>
      </c>
    </row>
    <row r="55" spans="9:10">
      <c r="B55" s="24" t="s">
        <v>1220</v>
      </c>
      <c r="C55" s="24" t="s">
        <v>2110</v>
      </c>
      <c r="D55" s="59" t="s">
        <v>2177</v>
      </c>
      <c r="E55" s="59" t="s">
        <v>2131</v>
      </c>
      <c r="G55" s="59"/>
      <c r="H55" s="59" t="s">
        <v>2176</v>
      </c>
      <c r="I55" s="59" t="str" cm="1">
        <f t="array" aca="true" ref="I55" ca="true">IF(ISBLANK(INDIRECT("B"&amp;ROW())), "", INDIRECT("B"&amp;ROW()) &amp; " - " &amp; INDIRECT("J"&amp;ROW()))</f>
      </c>
      <c r="J55" s="59" t="str" cm="1">
        <f t="array" aca="true" ref="J55" ca="true">IF(INDIRECT("E"&amp;ROW())=0,"",IF(INDIRECT("H"&amp;ROW())=INDIRECT("E"&amp;ROW()),"Active","Expired"))</f>
      </c>
    </row>
    <row r="56" spans="9:10">
      <c r="B56" s="24" t="s">
        <v>1220</v>
      </c>
      <c r="C56" s="24" t="s">
        <v>2111</v>
      </c>
      <c r="D56" s="59" t="s">
        <v>2178</v>
      </c>
      <c r="E56" s="59" t="s">
        <v>2233</v>
      </c>
      <c r="G56" s="59" t="s">
        <v>2264</v>
      </c>
      <c r="H56" s="59" t="s">
        <v>2176</v>
      </c>
      <c r="I56" s="59" t="str" cm="1">
        <f t="array" aca="true" ref="I56" ca="true">IF(ISBLANK(INDIRECT("B"&amp;ROW())), "", INDIRECT("B"&amp;ROW()) &amp; " - " &amp; INDIRECT("J"&amp;ROW()))</f>
      </c>
      <c r="J56" s="59" t="str" cm="1">
        <f t="array" aca="true" ref="J56" ca="true">IF(INDIRECT("E"&amp;ROW())=0,"",IF(INDIRECT("H"&amp;ROW())=INDIRECT("E"&amp;ROW()),"Active","Expired"))</f>
      </c>
    </row>
    <row r="57" spans="9:10">
      <c r="B57" s="24" t="s">
        <v>1220</v>
      </c>
      <c r="C57" s="24" t="s">
        <v>2112</v>
      </c>
      <c r="D57" s="59" t="s">
        <v>2179</v>
      </c>
      <c r="E57" s="59" t="s">
        <v>2234</v>
      </c>
      <c r="G57" s="59"/>
      <c r="H57" s="59" t="s">
        <v>2176</v>
      </c>
      <c r="I57" s="59" t="str" cm="1">
        <f t="array" aca="true" ref="I57" ca="true">IF(ISBLANK(INDIRECT("B"&amp;ROW())), "", INDIRECT("B"&amp;ROW()) &amp; " - " &amp; INDIRECT("J"&amp;ROW()))</f>
      </c>
      <c r="J57" s="59" t="str" cm="1">
        <f t="array" aca="true" ref="J57" ca="true">IF(INDIRECT("E"&amp;ROW())=0,"",IF(INDIRECT("H"&amp;ROW())=INDIRECT("E"&amp;ROW()),"Active","Expired"))</f>
      </c>
    </row>
    <row r="58" spans="9:10">
      <c r="B58" s="24" t="s">
        <v>1220</v>
      </c>
      <c r="C58" s="24" t="s">
        <v>2113</v>
      </c>
      <c r="D58" s="59" t="s">
        <v>2180</v>
      </c>
      <c r="E58" s="59" t="s">
        <v>2235</v>
      </c>
      <c r="G58" s="59" t="s">
        <v>2265</v>
      </c>
      <c r="H58" s="59" t="s">
        <v>2176</v>
      </c>
      <c r="I58" s="59" t="str" cm="1">
        <f t="array" aca="true" ref="I58" ca="true">IF(ISBLANK(INDIRECT("B"&amp;ROW())), "", INDIRECT("B"&amp;ROW()) &amp; " - " &amp; INDIRECT("J"&amp;ROW()))</f>
      </c>
      <c r="J58" s="59" t="str" cm="1">
        <f t="array" aca="true" ref="J58" ca="true">IF(INDIRECT("E"&amp;ROW())=0,"",IF(INDIRECT("H"&amp;ROW())=INDIRECT("E"&amp;ROW()),"Active","Expired"))</f>
      </c>
    </row>
    <row r="59" spans="9:10">
      <c r="B59" s="24" t="s">
        <v>1220</v>
      </c>
      <c r="C59" s="24" t="s">
        <v>2114</v>
      </c>
      <c r="D59" s="59" t="s">
        <v>2181</v>
      </c>
      <c r="E59" s="59" t="s">
        <v>2236</v>
      </c>
      <c r="G59" s="59" t="s">
        <v>2266</v>
      </c>
      <c r="H59" s="59" t="s">
        <v>2176</v>
      </c>
      <c r="I59" s="59" t="str" cm="1">
        <f t="array" aca="true" ref="I59" ca="true">IF(ISBLANK(INDIRECT("B"&amp;ROW())), "", INDIRECT("B"&amp;ROW()) &amp; " - " &amp; INDIRECT("J"&amp;ROW()))</f>
      </c>
      <c r="J59" s="59" t="str" cm="1">
        <f t="array" aca="true" ref="J59" ca="true">IF(INDIRECT("E"&amp;ROW())=0,"",IF(INDIRECT("H"&amp;ROW())=INDIRECT("E"&amp;ROW()),"Active","Expired"))</f>
      </c>
    </row>
    <row r="60" spans="9:10">
      <c r="B60" s="24" t="s">
        <v>1220</v>
      </c>
      <c r="C60" s="24" t="s">
        <v>2115</v>
      </c>
      <c r="D60" s="59" t="s">
        <v>2182</v>
      </c>
      <c r="E60" s="59" t="s">
        <v>2237</v>
      </c>
      <c r="G60" s="59" t="s">
        <v>2267</v>
      </c>
      <c r="H60" s="59" t="s">
        <v>2176</v>
      </c>
      <c r="I60" s="59" t="str" cm="1">
        <f t="array" aca="true" ref="I60" ca="true">IF(ISBLANK(INDIRECT("B"&amp;ROW())), "", INDIRECT("B"&amp;ROW()) &amp; " - " &amp; INDIRECT("J"&amp;ROW()))</f>
      </c>
      <c r="J60" s="59" t="str" cm="1">
        <f t="array" aca="true" ref="J60" ca="true">IF(INDIRECT("E"&amp;ROW())=0,"",IF(INDIRECT("H"&amp;ROW())=INDIRECT("E"&amp;ROW()),"Active","Expired"))</f>
      </c>
    </row>
    <row r="61" spans="9:10">
      <c r="B61" s="24" t="s">
        <v>1220</v>
      </c>
      <c r="C61" s="24" t="s">
        <v>2113</v>
      </c>
      <c r="D61" s="59" t="s">
        <v>2183</v>
      </c>
      <c r="E61" s="59" t="s">
        <v>2238</v>
      </c>
      <c r="G61" s="59"/>
      <c r="H61" s="59" t="s">
        <v>2176</v>
      </c>
      <c r="I61" s="59" t="str" cm="1">
        <f t="array" aca="true" ref="I61" ca="true">IF(ISBLANK(INDIRECT("B"&amp;ROW())), "", INDIRECT("B"&amp;ROW()) &amp; " - " &amp; INDIRECT("J"&amp;ROW()))</f>
      </c>
      <c r="J61" s="59" t="str" cm="1">
        <f t="array" aca="true" ref="J61" ca="true">IF(INDIRECT("E"&amp;ROW())=0,"",IF(INDIRECT("H"&amp;ROW())=INDIRECT("E"&amp;ROW()),"Active","Expired"))</f>
      </c>
    </row>
    <row r="62" spans="9:10">
      <c r="B62" s="24" t="s">
        <v>1220</v>
      </c>
      <c r="C62" s="24" t="s">
        <v>2116</v>
      </c>
      <c r="D62" s="59" t="s">
        <v>2184</v>
      </c>
      <c r="E62" s="59" t="s">
        <v>2239</v>
      </c>
      <c r="G62" s="59"/>
      <c r="H62" s="59" t="s">
        <v>2176</v>
      </c>
      <c r="I62" s="59" t="str" cm="1">
        <f t="array" aca="true" ref="I62" ca="true">IF(ISBLANK(INDIRECT("B"&amp;ROW())), "", INDIRECT("B"&amp;ROW()) &amp; " - " &amp; INDIRECT("J"&amp;ROW()))</f>
      </c>
      <c r="J62" s="59" t="str" cm="1">
        <f t="array" aca="true" ref="J62" ca="true">IF(INDIRECT("E"&amp;ROW())=0,"",IF(INDIRECT("H"&amp;ROW())=INDIRECT("E"&amp;ROW()),"Active","Expired"))</f>
      </c>
    </row>
    <row r="63" spans="9:10">
      <c r="B63" s="24" t="s">
        <v>1220</v>
      </c>
      <c r="C63" s="24" t="s">
        <v>2117</v>
      </c>
      <c r="D63" s="59" t="s">
        <v>2185</v>
      </c>
      <c r="E63" s="59" t="s">
        <v>2240</v>
      </c>
      <c r="G63" s="59" t="s">
        <v>2192</v>
      </c>
      <c r="H63" s="59" t="s">
        <v>2176</v>
      </c>
      <c r="I63" s="59" t="str" cm="1">
        <f t="array" aca="true" ref="I63" ca="true">IF(ISBLANK(INDIRECT("B"&amp;ROW())), "", INDIRECT("B"&amp;ROW()) &amp; " - " &amp; INDIRECT("J"&amp;ROW()))</f>
      </c>
      <c r="J63" s="59" t="str" cm="1">
        <f t="array" aca="true" ref="J63" ca="true">IF(INDIRECT("E"&amp;ROW())=0,"",IF(INDIRECT("H"&amp;ROW())=INDIRECT("E"&amp;ROW()),"Active","Expired"))</f>
      </c>
    </row>
    <row r="64" spans="9:10">
      <c r="B64" s="24" t="s">
        <v>1220</v>
      </c>
      <c r="C64" s="24" t="s">
        <v>2118</v>
      </c>
      <c r="D64" s="59" t="s">
        <v>2186</v>
      </c>
      <c r="E64" s="59" t="s">
        <v>2241</v>
      </c>
      <c r="G64" s="59" t="s">
        <v>2192</v>
      </c>
      <c r="H64" s="59" t="s">
        <v>2176</v>
      </c>
      <c r="I64" s="59" t="str" cm="1">
        <f t="array" aca="true" ref="I64" ca="true">IF(ISBLANK(INDIRECT("B"&amp;ROW())), "", INDIRECT("B"&amp;ROW()) &amp; " - " &amp; INDIRECT("J"&amp;ROW()))</f>
      </c>
      <c r="J64" s="59" t="str" cm="1">
        <f t="array" aca="true" ref="J64" ca="true">IF(INDIRECT("E"&amp;ROW())=0,"",IF(INDIRECT("H"&amp;ROW())=INDIRECT("E"&amp;ROW()),"Active","Expired"))</f>
      </c>
    </row>
    <row r="65" spans="9:10">
      <c r="B65" s="24" t="s">
        <v>1220</v>
      </c>
      <c r="C65" s="24" t="s">
        <v>2119</v>
      </c>
      <c r="D65" s="59" t="s">
        <v>2187</v>
      </c>
      <c r="E65" s="59" t="s">
        <v>2242</v>
      </c>
      <c r="G65" s="59" t="s">
        <v>2212</v>
      </c>
      <c r="H65" s="59" t="s">
        <v>2176</v>
      </c>
      <c r="I65" s="59" t="str" cm="1">
        <f t="array" aca="true" ref="I65" ca="true">IF(ISBLANK(INDIRECT("B"&amp;ROW())), "", INDIRECT("B"&amp;ROW()) &amp; " - " &amp; INDIRECT("J"&amp;ROW()))</f>
      </c>
      <c r="J65" s="59" t="str" cm="1">
        <f t="array" aca="true" ref="J65" ca="true">IF(INDIRECT("E"&amp;ROW())=0,"",IF(INDIRECT("H"&amp;ROW())=INDIRECT("E"&amp;ROW()),"Active","Expired"))</f>
      </c>
    </row>
    <row r="66" spans="9:10">
      <c r="B66" s="24" t="s">
        <v>1220</v>
      </c>
      <c r="C66" s="24" t="s">
        <v>2120</v>
      </c>
      <c r="D66" s="59" t="s">
        <v>2188</v>
      </c>
      <c r="E66" s="59" t="s">
        <v>2243</v>
      </c>
      <c r="G66" s="59" t="s">
        <v>2173</v>
      </c>
      <c r="H66" s="59" t="s">
        <v>2176</v>
      </c>
      <c r="I66" s="59" t="str" cm="1">
        <f t="array" aca="true" ref="I66" ca="true">IF(ISBLANK(INDIRECT("B"&amp;ROW())), "", INDIRECT("B"&amp;ROW()) &amp; " - " &amp; INDIRECT("J"&amp;ROW()))</f>
      </c>
      <c r="J66" s="59" t="str" cm="1">
        <f t="array" aca="true" ref="J66" ca="true">IF(INDIRECT("E"&amp;ROW())=0,"",IF(INDIRECT("H"&amp;ROW())=INDIRECT("E"&amp;ROW()),"Active","Expired"))</f>
      </c>
    </row>
    <row r="67" spans="9:10">
      <c r="B67" s="24" t="s">
        <v>1220</v>
      </c>
      <c r="C67" s="24" t="s">
        <v>2121</v>
      </c>
      <c r="D67" s="59" t="s">
        <v>2189</v>
      </c>
      <c r="E67" s="59" t="s">
        <v>2189</v>
      </c>
      <c r="G67" s="59"/>
      <c r="H67" s="59" t="s">
        <v>2176</v>
      </c>
      <c r="I67" s="59" t="str" cm="1">
        <f t="array" aca="true" ref="I67" ca="true">IF(ISBLANK(INDIRECT("B"&amp;ROW())), "", INDIRECT("B"&amp;ROW()) &amp; " - " &amp; INDIRECT("J"&amp;ROW()))</f>
      </c>
      <c r="J67" s="59" t="str" cm="1">
        <f t="array" aca="true" ref="J67" ca="true">IF(INDIRECT("E"&amp;ROW())=0,"",IF(INDIRECT("H"&amp;ROW())=INDIRECT("E"&amp;ROW()),"Active","Expired"))</f>
      </c>
    </row>
    <row r="68" spans="9:10">
      <c r="B68" s="24" t="s">
        <v>1220</v>
      </c>
      <c r="C68" s="24" t="s">
        <v>2122</v>
      </c>
      <c r="D68" s="59" t="s">
        <v>2190</v>
      </c>
      <c r="E68" s="59" t="s">
        <v>2190</v>
      </c>
      <c r="H68" s="59" t="s">
        <v>2176</v>
      </c>
      <c r="I68" s="59" t="str" cm="1">
        <f t="array" aca="true" ref="I68" ca="true">IF(ISBLANK(INDIRECT("B"&amp;ROW())), "", INDIRECT("B"&amp;ROW()) &amp; " - " &amp; INDIRECT("J"&amp;ROW()))</f>
      </c>
      <c r="J68" s="59" t="str" cm="1">
        <f t="array" aca="true" ref="J68" ca="true">IF(INDIRECT("E"&amp;ROW())=0,"",IF(INDIRECT("H"&amp;ROW())=INDIRECT("E"&amp;ROW()),"Active","Expired"))</f>
      </c>
    </row>
    <row r="69" spans="9:10">
      <c r="B69" s="24" t="s">
        <v>1220</v>
      </c>
      <c r="C69" s="24" t="s">
        <v>2123</v>
      </c>
      <c r="D69" s="59" t="s">
        <v>2191</v>
      </c>
      <c r="E69" s="59" t="s">
        <v>2244</v>
      </c>
      <c r="H69" s="59" t="s">
        <v>2176</v>
      </c>
      <c r="I69" s="59" t="str" cm="1">
        <f t="array" aca="true" ref="I69" ca="true">IF(ISBLANK(INDIRECT("B"&amp;ROW())), "", INDIRECT("B"&amp;ROW()) &amp; " - " &amp; INDIRECT("J"&amp;ROW()))</f>
      </c>
      <c r="J69" s="59" t="str" cm="1">
        <f t="array" aca="true" ref="J69" ca="true">IF(INDIRECT("E"&amp;ROW())=0,"",IF(INDIRECT("H"&amp;ROW())=INDIRECT("E"&amp;ROW()),"Active","Expired"))</f>
      </c>
    </row>
    <row r="70" spans="9:10">
      <c r="B70" s="24" t="s">
        <v>1220</v>
      </c>
      <c r="C70" s="24" t="s">
        <v>2124</v>
      </c>
      <c r="D70" s="59" t="s">
        <v>2192</v>
      </c>
      <c r="E70" s="59" t="s">
        <v>2192</v>
      </c>
      <c r="H70" s="59" t="s">
        <v>2176</v>
      </c>
      <c r="I70" s="59" t="str" cm="1">
        <f t="array" aca="true" ref="I70" ca="true">IF(ISBLANK(INDIRECT("B"&amp;ROW())), "", INDIRECT("B"&amp;ROW()) &amp; " - " &amp; INDIRECT("J"&amp;ROW()))</f>
      </c>
      <c r="J70" s="59" t="str" cm="1">
        <f t="array" aca="true" ref="J70" ca="true">IF(INDIRECT("E"&amp;ROW())=0,"",IF(INDIRECT("H"&amp;ROW())=INDIRECT("E"&amp;ROW()),"Active","Expired"))</f>
      </c>
    </row>
    <row r="71" spans="9:10">
      <c r="B71" s="24" t="s">
        <v>1220</v>
      </c>
      <c r="C71" s="24" t="s">
        <v>2125</v>
      </c>
      <c r="D71" s="59" t="s">
        <v>2148</v>
      </c>
      <c r="E71" s="59" t="s">
        <v>2245</v>
      </c>
      <c r="H71" s="59" t="s">
        <v>2176</v>
      </c>
      <c r="I71" s="59" t="str" cm="1">
        <f t="array" aca="true" ref="I71" ca="true">IF(ISBLANK(INDIRECT("B"&amp;ROW())), "", INDIRECT("B"&amp;ROW()) &amp; " - " &amp; INDIRECT("J"&amp;ROW()))</f>
      </c>
      <c r="J71" s="59" t="str" cm="1">
        <f t="array" aca="true" ref="J71" ca="true">IF(INDIRECT("E"&amp;ROW())=0,"",IF(INDIRECT("H"&amp;ROW())=INDIRECT("E"&amp;ROW()),"Active","Expired"))</f>
      </c>
    </row>
    <row r="72" spans="9:10">
      <c r="B72" s="24" t="s">
        <v>1220</v>
      </c>
      <c r="C72" s="24" t="s">
        <v>2126</v>
      </c>
      <c r="D72" s="59" t="s">
        <v>2193</v>
      </c>
      <c r="E72" s="59" t="s">
        <v>2246</v>
      </c>
      <c r="H72" s="59" t="s">
        <v>2176</v>
      </c>
      <c r="I72" s="59" t="str" cm="1">
        <f t="array" aca="true" ref="I72" ca="true">IF(ISBLANK(INDIRECT("B"&amp;ROW())), "", INDIRECT("B"&amp;ROW()) &amp; " - " &amp; INDIRECT("J"&amp;ROW()))</f>
      </c>
      <c r="J72" s="59" t="str" cm="1">
        <f t="array" aca="true" ref="J72" ca="true">IF(INDIRECT("E"&amp;ROW())=0,"",IF(INDIRECT("H"&amp;ROW())=INDIRECT("E"&amp;ROW()),"Active","Expired"))</f>
      </c>
    </row>
    <row r="73" spans="9:10">
      <c r="B73" s="24" t="s">
        <v>1220</v>
      </c>
      <c r="C73" s="24" t="s">
        <v>2127</v>
      </c>
      <c r="D73" s="59" t="s">
        <v>2150</v>
      </c>
      <c r="E73" s="59" t="s">
        <v>2176</v>
      </c>
      <c r="H73" s="59" t="s">
        <v>2176</v>
      </c>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4093247</v>
      </c>
      <c r="D4" s="94">
        <v>4548052</v>
      </c>
      <c r="E4" s="94">
        <v>5002857</v>
      </c>
      <c r="F4" s="94" t="str">
        <f ca="true">IFERROR(C4/OFFSET('Rent Comps'!$A$1,3,7),"")</f>
      </c>
      <c r="G4" s="94">
        <v>12884</v>
      </c>
      <c r="H4" s="94" t="str">
        <f ca="true">IFERROR(E4/OFFSET('Rent Comps'!$A$1,3,7),"")</f>
      </c>
      <c r="I4" s="95">
        <v>1</v>
      </c>
      <c r="J4" s="95">
        <v>1.0020872171664303</v>
      </c>
      <c r="K4" s="95"/>
    </row>
    <row r="5" spans="2:11" s="55" customFormat="true" ht="19" customHeight="true">
      <c r="B5" s="96" t="s">
        <v>54</v>
      </c>
      <c r="C5" s="97">
        <v>47975</v>
      </c>
      <c r="D5" s="97">
        <v>171193</v>
      </c>
      <c r="E5" s="97">
        <v>294411</v>
      </c>
      <c r="F5" s="97" t="str">
        <f ca="true">IFERROR(C5/OFFSET('Rent Comps'!$A$1,3,7),"")</f>
      </c>
      <c r="G5" s="97">
        <v>484.9660056657224</v>
      </c>
      <c r="H5" s="97" t="str">
        <f ca="true">IFERROR(E5/OFFSET('Rent Comps'!$A$1,3,7),"")</f>
      </c>
      <c r="I5" s="98">
        <v>0.03764095045527184</v>
      </c>
      <c r="J5" s="98">
        <v>0.03771951529322284</v>
      </c>
      <c r="K5" s="98"/>
    </row>
    <row r="6" spans="2:11" s="55" customFormat="true" ht="19" customHeight="true">
      <c r="B6" s="96" t="s">
        <v>68</v>
      </c>
      <c r="C6" s="97"/>
      <c r="D6" s="97">
        <v>2458</v>
      </c>
      <c r="E6" s="97">
        <v>20809</v>
      </c>
      <c r="F6" s="97" t="str">
        <f ca="true">IFERROR(C6/OFFSET('Rent Comps'!$A$1,3,7),"")</f>
      </c>
      <c r="G6" s="97">
        <v>6.963172804532578</v>
      </c>
      <c r="H6" s="97" t="str">
        <f ca="true">IFERROR(E6/OFFSET('Rent Comps'!$A$1,3,7),"")</f>
      </c>
      <c r="I6" s="98">
        <v>0.0005404511645865087</v>
      </c>
      <c r="J6" s="98">
        <v>0.0005415792035348509</v>
      </c>
      <c r="K6" s="98"/>
    </row>
    <row r="7" spans="2:11" s="55" customFormat="true" ht="19" customHeight="true">
      <c r="B7" s="96" t="s">
        <v>61</v>
      </c>
      <c r="C7" s="97">
        <v>46456</v>
      </c>
      <c r="D7" s="97">
        <v>123273</v>
      </c>
      <c r="E7" s="97">
        <v>200090</v>
      </c>
      <c r="F7" s="97" t="str">
        <f ca="true">IFERROR(C7/OFFSET('Rent Comps'!$A$1,3,7),"")</f>
      </c>
      <c r="G7" s="97">
        <v>349.21529745042494</v>
      </c>
      <c r="H7" s="97" t="str">
        <f ca="true">IFERROR(E7/OFFSET('Rent Comps'!$A$1,3,7),"")</f>
      </c>
      <c r="I7" s="98">
        <v>0.027104571363739904</v>
      </c>
      <c r="J7" s="98">
        <v>0.027161144490379038</v>
      </c>
      <c r="K7" s="98"/>
    </row>
    <row r="8" spans="2:11" s="55" customFormat="true" ht="19" customHeight="true">
      <c r="B8" s="93" t="s">
        <v>75</v>
      </c>
      <c r="C8" s="94">
        <v>4060512</v>
      </c>
      <c r="D8" s="94">
        <v>4538579</v>
      </c>
      <c r="E8" s="94">
        <v>5016646</v>
      </c>
      <c r="F8" s="94" t="str">
        <f ca="true">IFERROR(C8/OFFSET('Rent Comps'!$A$1,3,7),"")</f>
      </c>
      <c r="G8" s="94">
        <v>12857.164305949009</v>
      </c>
      <c r="H8" s="94" t="str">
        <f ca="true">IFERROR(E8/OFFSET('Rent Comps'!$A$1,3,7),"")</f>
      </c>
      <c r="I8" s="95">
        <v>0.9979171302350984</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271582</v>
      </c>
      <c r="D10" s="97">
        <v>364082</v>
      </c>
      <c r="E10" s="97">
        <v>456582</v>
      </c>
      <c r="F10" s="97" t="str">
        <f ca="true">IFERROR(C10/OFFSET('Rent Comps'!$A$1,3,7),"")</f>
      </c>
      <c r="G10" s="97">
        <v>1031.3937677053825</v>
      </c>
      <c r="H10" s="97" t="str">
        <f ca="true">IFERROR(E10/OFFSET('Rent Comps'!$A$1,3,7),"")</f>
      </c>
      <c r="I10" s="98">
        <v>0.08005229491659287</v>
      </c>
      <c r="J10" s="98">
        <v>0.08021938144075491</v>
      </c>
      <c r="K10" s="98" t="str">
        <f t="shared" ref="K10:K21" si="0">IFERROR(D10/$D$21,"")</f>
      </c>
    </row>
    <row r="11" spans="2:11" s="55" customFormat="true" ht="19" customHeight="true">
      <c r="B11" s="96" t="s">
        <v>90</v>
      </c>
      <c r="C11" s="97">
        <v>40968</v>
      </c>
      <c r="D11" s="97">
        <v>187183</v>
      </c>
      <c r="E11" s="97">
        <v>333398</v>
      </c>
      <c r="F11" s="97" t="str">
        <f ca="true">IFERROR(C11/OFFSET('Rent Comps'!$A$1,3,7),"")</f>
      </c>
      <c r="G11" s="97">
        <v>530.2634560906515</v>
      </c>
      <c r="H11" s="97" t="str">
        <f ca="true">IFERROR(E11/OFFSET('Rent Comps'!$A$1,3,7),"")</f>
      </c>
      <c r="I11" s="98">
        <v>0.04115674139169913</v>
      </c>
      <c r="J11" s="98">
        <v>0.04124264444884621</v>
      </c>
      <c r="K11" s="98" t="str">
        <f t="shared" si="0"/>
      </c>
    </row>
    <row r="12" spans="2:11" s="55" customFormat="true" ht="19" customHeight="true">
      <c r="B12" s="96" t="s">
        <v>97</v>
      </c>
      <c r="C12" s="97">
        <v>315008</v>
      </c>
      <c r="D12" s="97">
        <v>425683</v>
      </c>
      <c r="E12" s="97">
        <v>536358</v>
      </c>
      <c r="F12" s="97" t="str">
        <f ca="true">IFERROR(C12/OFFSET('Rent Comps'!$A$1,3,7),"")</f>
      </c>
      <c r="G12" s="97">
        <v>1205.9008498583569</v>
      </c>
      <c r="H12" s="97" t="str">
        <f ca="true">IFERROR(E12/OFFSET('Rent Comps'!$A$1,3,7),"")</f>
      </c>
      <c r="I12" s="98">
        <v>0.09359677505886037</v>
      </c>
      <c r="J12" s="98">
        <v>0.09379213185448573</v>
      </c>
      <c r="K12" s="98" t="str">
        <f t="shared" si="0"/>
      </c>
    </row>
    <row r="13" spans="2:11" s="55" customFormat="true" ht="19" customHeight="true">
      <c r="B13" s="96" t="s">
        <v>104</v>
      </c>
      <c r="C13" s="97">
        <v>189900</v>
      </c>
      <c r="D13" s="97">
        <v>361994</v>
      </c>
      <c r="E13" s="97">
        <v>534088</v>
      </c>
      <c r="F13" s="97" t="str">
        <f ca="true">IFERROR(C13/OFFSET('Rent Comps'!$A$1,3,7),"")</f>
      </c>
      <c r="G13" s="97">
        <v>1025.4787535410765</v>
      </c>
      <c r="H13" s="97" t="str">
        <f ca="true">IFERROR(E13/OFFSET('Rent Comps'!$A$1,3,7),"")</f>
      </c>
      <c r="I13" s="98">
        <v>0.07959319726335583</v>
      </c>
      <c r="J13" s="98">
        <v>0.07975932555101498</v>
      </c>
      <c r="K13" s="98" t="str">
        <f t="shared" si="0"/>
      </c>
    </row>
    <row r="14" spans="2:11" s="55" customFormat="true" ht="19" customHeight="true">
      <c r="B14" s="96" t="s">
        <v>111</v>
      </c>
      <c r="C14" s="97">
        <v>130981</v>
      </c>
      <c r="D14" s="97">
        <v>174951</v>
      </c>
      <c r="E14" s="97">
        <v>218921</v>
      </c>
      <c r="F14" s="97" t="str">
        <f ca="true">IFERROR(C14/OFFSET('Rent Comps'!$A$1,3,7),"")</f>
      </c>
      <c r="G14" s="97">
        <v>495.61189801699715</v>
      </c>
      <c r="H14" s="97" t="str">
        <f ca="true">IFERROR(E14/OFFSET('Rent Comps'!$A$1,3,7),"")</f>
      </c>
      <c r="I14" s="98">
        <v>0.0384672382813565</v>
      </c>
      <c r="J14" s="98">
        <v>0.03854752776144251</v>
      </c>
      <c r="K14" s="98" t="str">
        <f t="shared" si="0"/>
      </c>
    </row>
    <row r="15" spans="2:11" s="55" customFormat="true" ht="19" customHeight="true">
      <c r="B15" s="96" t="s">
        <v>118</v>
      </c>
      <c r="C15" s="97">
        <v>427354</v>
      </c>
      <c r="D15" s="97">
        <v>571135</v>
      </c>
      <c r="E15" s="97">
        <v>714916</v>
      </c>
      <c r="F15" s="97" t="str">
        <f ca="true">IFERROR(C15/OFFSET('Rent Comps'!$A$1,3,7),"")</f>
      </c>
      <c r="G15" s="97">
        <v>1617.9461756373937</v>
      </c>
      <c r="H15" s="97" t="str">
        <f ca="true">IFERROR(E15/OFFSET('Rent Comps'!$A$1,3,7),"")</f>
      </c>
      <c r="I15" s="98">
        <v>0.12557793974211376</v>
      </c>
      <c r="J15" s="98">
        <v>0.12584004817366845</v>
      </c>
      <c r="K15" s="98" t="str">
        <f t="shared" si="0"/>
      </c>
    </row>
    <row r="16" spans="2:11" s="55" customFormat="true" ht="19" customHeight="true">
      <c r="B16" s="96" t="s">
        <v>125</v>
      </c>
      <c r="C16" s="97">
        <v>19139</v>
      </c>
      <c r="D16" s="97">
        <v>39708</v>
      </c>
      <c r="E16" s="97">
        <v>60277</v>
      </c>
      <c r="F16" s="97" t="str">
        <f ca="true">IFERROR(C16/OFFSET('Rent Comps'!$A$1,3,7),"")</f>
      </c>
      <c r="G16" s="97">
        <v>112.48725212464589</v>
      </c>
      <c r="H16" s="97" t="str">
        <f ca="true">IFERROR(E16/OFFSET('Rent Comps'!$A$1,3,7),"")</f>
      </c>
      <c r="I16" s="98">
        <v>0.0087307708882836</v>
      </c>
      <c r="J16" s="98">
        <v>0.008748993903157795</v>
      </c>
      <c r="K16" s="98" t="str">
        <f t="shared" si="0"/>
      </c>
    </row>
    <row r="17" spans="2:11" s="55" customFormat="true" ht="19" customHeight="true">
      <c r="B17" s="96" t="s">
        <v>132</v>
      </c>
      <c r="C17" s="97">
        <v>17770</v>
      </c>
      <c r="D17" s="97">
        <v>32661</v>
      </c>
      <c r="E17" s="97">
        <v>47552</v>
      </c>
      <c r="F17" s="97" t="str">
        <f ca="true">IFERROR(C17/OFFSET('Rent Comps'!$A$1,3,7),"")</f>
      </c>
      <c r="G17" s="97">
        <v>92.52407932011332</v>
      </c>
      <c r="H17" s="97" t="str">
        <f ca="true">IFERROR(E17/OFFSET('Rent Comps'!$A$1,3,7),"")</f>
      </c>
      <c r="I17" s="98">
        <v>0.007181316308608608</v>
      </c>
      <c r="J17" s="98">
        <v>0.007196305275285503</v>
      </c>
      <c r="K17" s="98" t="str">
        <f t="shared" si="0"/>
      </c>
    </row>
    <row r="18" spans="2:11" s="55" customFormat="true" ht="19" customHeight="true">
      <c r="B18" s="96" t="s">
        <v>139</v>
      </c>
      <c r="C18" s="97">
        <v>98477</v>
      </c>
      <c r="D18" s="97">
        <v>152003</v>
      </c>
      <c r="E18" s="97">
        <v>205529</v>
      </c>
      <c r="F18" s="97" t="str">
        <f ca="true">IFERROR(C18/OFFSET('Rent Comps'!$A$1,3,7),"")</f>
      </c>
      <c r="G18" s="97">
        <v>430.60339943342774</v>
      </c>
      <c r="H18" s="97" t="str">
        <f ca="true">IFERROR(E18/OFFSET('Rent Comps'!$A$1,3,7),"")</f>
      </c>
      <c r="I18" s="98">
        <v>0.0334215615828491</v>
      </c>
      <c r="J18" s="98">
        <v>0.033491319639913725</v>
      </c>
      <c r="K18" s="98" t="str">
        <f t="shared" si="0"/>
      </c>
    </row>
    <row r="19" spans="2:11" s="55" customFormat="true" ht="19" customHeight="true">
      <c r="B19" s="96" t="s">
        <v>146</v>
      </c>
      <c r="C19" s="97"/>
      <c r="D19" s="97">
        <v>7976</v>
      </c>
      <c r="E19" s="97">
        <v>32522</v>
      </c>
      <c r="F19" s="97" t="str">
        <f ca="true">IFERROR(C19/OFFSET('Rent Comps'!$A$1,3,7),"")</f>
      </c>
      <c r="G19" s="97">
        <v>22.594900849858355</v>
      </c>
      <c r="H19" s="97" t="str">
        <f ca="true">IFERROR(E19/OFFSET('Rent Comps'!$A$1,3,7),"")</f>
      </c>
      <c r="I19" s="98">
        <v>0.001753717855468671</v>
      </c>
      <c r="J19" s="98">
        <v>0.0017573782454816805</v>
      </c>
      <c r="K19" s="98" t="str">
        <f t="shared" si="0"/>
      </c>
    </row>
    <row r="20" spans="2:11" s="55" customFormat="true" ht="19" customHeight="true">
      <c r="B20" s="93" t="s">
        <v>153</v>
      </c>
      <c r="C20" s="94">
        <v>2003499</v>
      </c>
      <c r="D20" s="94">
        <v>2317376</v>
      </c>
      <c r="E20" s="94">
        <v>2631253</v>
      </c>
      <c r="F20" s="94" t="str">
        <f ca="true">IFERROR(C20/OFFSET('Rent Comps'!$A$1,3,7),"")</f>
      </c>
      <c r="G20" s="94">
        <v>6564.804532577904</v>
      </c>
      <c r="H20" s="94" t="str">
        <f ca="true">IFERROR(E20/OFFSET('Rent Comps'!$A$1,3,7),"")</f>
      </c>
      <c r="I20" s="95">
        <v>0.5095315532891884</v>
      </c>
      <c r="J20" s="95">
        <v>0.5105950562940516</v>
      </c>
      <c r="K20" s="95" t="str">
        <f t="shared" si="0"/>
      </c>
    </row>
    <row r="21" spans="2:11" s="55" customFormat="true" ht="19" customHeight="true">
      <c r="B21" s="99" t="s">
        <v>160</v>
      </c>
      <c r="C21" s="100">
        <v>1649305</v>
      </c>
      <c r="D21" s="100">
        <v>2221203</v>
      </c>
      <c r="E21" s="100">
        <v>2793101</v>
      </c>
      <c r="F21" s="100" t="str">
        <f ca="true">IFERROR(C21/OFFSET('Rent Comps'!$A$1,3,7),"")</f>
      </c>
      <c r="G21" s="100">
        <v>6292.359773371105</v>
      </c>
      <c r="H21" s="100" t="str">
        <f ca="true">IFERROR(E21/OFFSET('Rent Comps'!$A$1,3,7),"")</f>
      </c>
      <c r="I21" s="101">
        <v>0.48838557694591</v>
      </c>
      <c r="J21" s="101">
        <v>0.4894049437059485</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0.48580614213020573</v>
      </c>
      <c r="E4" s="560">
        <v>1964</v>
      </c>
      <c r="F4" s="560">
        <v>353</v>
      </c>
      <c r="G4" s="561">
        <v>3</v>
      </c>
      <c r="H4" s="562">
        <v>546.6666666666666</v>
      </c>
      <c r="I4" s="563">
        <v>1</v>
      </c>
      <c r="J4" s="563">
        <v>0</v>
      </c>
      <c r="K4" s="564"/>
      <c r="L4" s="564">
        <v>1029</v>
      </c>
      <c r="M4" s="564">
        <v>1259</v>
      </c>
      <c r="N4" s="564"/>
      <c r="O4" s="564"/>
    </row>
    <row r="5" spans="2:15">
      <c r="B5" s="565" t="s">
        <v>1216</v>
      </c>
      <c r="C5" s="566">
        <v>0.708664181540931</v>
      </c>
      <c r="D5" s="567">
        <v>0.47931323773033024</v>
      </c>
      <c r="E5" s="568">
        <v>1955</v>
      </c>
      <c r="F5" s="568">
        <v>263</v>
      </c>
      <c r="G5" s="568">
        <v>3</v>
      </c>
      <c r="H5" s="569">
        <v>687.7757009345794</v>
      </c>
      <c r="I5" s="570">
        <v>0.9695817490494296</v>
      </c>
      <c r="J5" s="570">
        <v>0.03802281368821293</v>
      </c>
      <c r="K5" s="571"/>
      <c r="L5" s="571">
        <v>1320</v>
      </c>
      <c r="M5" s="571">
        <v>1540.5</v>
      </c>
      <c r="N5" s="571">
        <v>1959</v>
      </c>
      <c r="O5" s="571"/>
    </row>
    <row r="6">
      <c r="B6" s="565" t="s">
        <v>1217</v>
      </c>
      <c r="C6" s="566">
        <v>0.9058274383944772</v>
      </c>
      <c r="D6" s="567">
        <v>0.6249180325637074</v>
      </c>
      <c r="E6" s="568">
        <v>1964</v>
      </c>
      <c r="F6" s="568">
        <v>335</v>
      </c>
      <c r="G6" s="568">
        <v>2</v>
      </c>
      <c r="H6" s="569">
        <v>927.2272727272727</v>
      </c>
      <c r="I6" s="570">
        <v>0.982089552238806</v>
      </c>
      <c r="J6" s="570">
        <v>0.03283582089552239</v>
      </c>
      <c r="K6" s="571">
        <v>1013.125</v>
      </c>
      <c r="L6" s="571"/>
      <c r="M6" s="571">
        <v>1430.4444444444443</v>
      </c>
      <c r="N6" s="571">
        <v>1748.75</v>
      </c>
      <c r="O6" s="571"/>
    </row>
    <row r="7">
      <c r="B7" s="565" t="s">
        <v>1218</v>
      </c>
      <c r="C7" s="566">
        <v>0.8650721325938667</v>
      </c>
      <c r="D7" s="567">
        <v>0.4532575736672673</v>
      </c>
      <c r="E7" s="568">
        <v>1976</v>
      </c>
      <c r="F7" s="568">
        <v>216</v>
      </c>
      <c r="G7" s="568">
        <v>3</v>
      </c>
      <c r="H7" s="569">
        <v>593.5633802816901</v>
      </c>
      <c r="I7" s="570">
        <v>0.9953703703703703</v>
      </c>
      <c r="J7" s="570">
        <v>0.041666666666666664</v>
      </c>
      <c r="K7" s="571">
        <v>1134</v>
      </c>
      <c r="L7" s="571">
        <v>1279.75</v>
      </c>
      <c r="M7" s="571">
        <v>1434</v>
      </c>
      <c r="N7" s="571"/>
      <c r="O7" s="571"/>
    </row>
    <row r="8">
      <c r="B8" s="565" t="s">
        <v>1219</v>
      </c>
      <c r="C8" s="566">
        <v>0.9765860189630632</v>
      </c>
      <c r="D8" s="567">
        <v>0.5661607188380432</v>
      </c>
      <c r="E8" s="568">
        <v>1962</v>
      </c>
      <c r="F8" s="568">
        <v>322</v>
      </c>
      <c r="G8" s="568">
        <v>2</v>
      </c>
      <c r="H8" s="569">
        <v>907.1844660194175</v>
      </c>
      <c r="I8" s="570">
        <v>0.906832298136646</v>
      </c>
      <c r="J8" s="570">
        <v>0.13043478260869565</v>
      </c>
      <c r="K8" s="571"/>
      <c r="L8" s="571">
        <v>1282.7777777777778</v>
      </c>
      <c r="M8" s="571">
        <v>1327.4193548387098</v>
      </c>
      <c r="N8" s="571">
        <v>1577.1875</v>
      </c>
      <c r="O8" s="571"/>
    </row>
    <row r="9">
      <c r="B9" s="565" t="s">
        <v>1220</v>
      </c>
      <c r="C9" s="566">
        <v>0.4995418953334391</v>
      </c>
      <c r="D9" s="567">
        <v>0.496874850173134</v>
      </c>
      <c r="E9" s="568">
        <v>1964</v>
      </c>
      <c r="F9" s="568">
        <v>147</v>
      </c>
      <c r="G9" s="568">
        <v>3</v>
      </c>
      <c r="H9" s="569">
        <v>780.1139240506329</v>
      </c>
      <c r="I9" s="570">
        <v>0.9387755102040817</v>
      </c>
      <c r="J9" s="570">
        <v>0.07482993197278912</v>
      </c>
      <c r="K9" s="571">
        <v>1056.6666666666667</v>
      </c>
      <c r="L9" s="571">
        <v>1160</v>
      </c>
      <c r="M9" s="571">
        <v>1430</v>
      </c>
      <c r="N9" s="571"/>
      <c r="O9" s="571"/>
    </row>
    <row r="10">
      <c r="B10" s="565" t="s">
        <v>1221</v>
      </c>
      <c r="C10" s="566">
        <v>0.6956088227420667</v>
      </c>
      <c r="D10" s="567">
        <v>0.5194121183771075</v>
      </c>
      <c r="E10" s="568">
        <v>1960</v>
      </c>
      <c r="F10" s="568">
        <v>84</v>
      </c>
      <c r="G10" s="568">
        <v>3</v>
      </c>
      <c r="H10" s="569">
        <v>523.4285714285714</v>
      </c>
      <c r="I10" s="570">
        <v>0.9761904761904762</v>
      </c>
      <c r="J10" s="570">
        <v>0.023809523809523808</v>
      </c>
      <c r="K10" s="571">
        <v>900</v>
      </c>
      <c r="L10" s="571">
        <v>1062.5</v>
      </c>
      <c r="M10" s="571"/>
      <c r="N10" s="571"/>
      <c r="O10" s="571"/>
    </row>
    <row r="11">
      <c r="B11" s="565" t="s">
        <v>1222</v>
      </c>
      <c r="C11" s="566">
        <v>0.5142976285004364</v>
      </c>
      <c r="D11" s="567">
        <v>0.326328623858658</v>
      </c>
      <c r="E11" s="568">
        <v>1961</v>
      </c>
      <c r="F11" s="568">
        <v>80</v>
      </c>
      <c r="G11" s="568">
        <v>5</v>
      </c>
      <c r="H11" s="569">
        <v>600</v>
      </c>
      <c r="I11" s="570">
        <v>0.9875</v>
      </c>
      <c r="J11" s="570">
        <v>0.0125</v>
      </c>
      <c r="K11" s="571"/>
      <c r="L11" s="571">
        <v>1000</v>
      </c>
      <c r="M11" s="571"/>
      <c r="N11" s="571"/>
      <c r="O11" s="571"/>
    </row>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c r="H27" s="564"/>
      <c r="I27" s="564"/>
      <c r="J27" s="564"/>
      <c r="K27" s="564"/>
      <c r="L27" s="564"/>
      <c r="M27" s="564"/>
      <c r="N27" s="564"/>
      <c r="O27" s="564"/>
    </row>
    <row r="28" spans="2:15">
      <c r="B28" s="579" t="s">
        <v>1216</v>
      </c>
      <c r="C28" s="580">
        <v>30</v>
      </c>
      <c r="D28" s="580"/>
      <c r="E28" s="580"/>
      <c r="F28" s="580"/>
      <c r="G28" s="580">
        <v>50</v>
      </c>
      <c r="H28" s="580">
        <v>250</v>
      </c>
      <c r="I28" s="580">
        <v>250</v>
      </c>
      <c r="J28" s="580">
        <v>50</v>
      </c>
      <c r="K28" s="580">
        <v>250</v>
      </c>
      <c r="L28" s="580">
        <v>250</v>
      </c>
      <c r="M28" s="580"/>
      <c r="N28" s="581"/>
      <c r="O28" s="581"/>
    </row>
    <row r="29">
      <c r="B29" s="579" t="s">
        <v>1217</v>
      </c>
      <c r="C29" s="580">
        <v>45</v>
      </c>
      <c r="D29" s="580"/>
      <c r="E29" s="580"/>
      <c r="F29" s="580"/>
      <c r="G29" s="580">
        <v>35</v>
      </c>
      <c r="H29" s="580">
        <v>250</v>
      </c>
      <c r="I29" s="580">
        <v>250</v>
      </c>
      <c r="J29" s="580">
        <v>35</v>
      </c>
      <c r="K29" s="580">
        <v>250</v>
      </c>
      <c r="L29" s="580">
        <v>250</v>
      </c>
      <c r="M29" s="580"/>
      <c r="N29" s="581"/>
      <c r="O29" s="581"/>
    </row>
    <row r="30">
      <c r="B30" s="579" t="s">
        <v>1218</v>
      </c>
      <c r="C30" s="580">
        <v>25</v>
      </c>
      <c r="D30" s="580"/>
      <c r="E30" s="580"/>
      <c r="F30" s="580"/>
      <c r="G30" s="580">
        <v>25</v>
      </c>
      <c r="H30" s="580">
        <v>350</v>
      </c>
      <c r="I30" s="580"/>
      <c r="J30" s="580">
        <v>25</v>
      </c>
      <c r="K30" s="580">
        <v>350</v>
      </c>
      <c r="L30" s="580"/>
      <c r="M30" s="580"/>
      <c r="N30" s="581"/>
      <c r="O30" s="581"/>
    </row>
    <row r="31">
      <c r="B31" s="579" t="s">
        <v>1219</v>
      </c>
      <c r="C31" s="580">
        <v>25</v>
      </c>
      <c r="D31" s="580"/>
      <c r="E31" s="580"/>
      <c r="F31" s="580"/>
      <c r="G31" s="580">
        <v>25</v>
      </c>
      <c r="H31" s="580">
        <v>125</v>
      </c>
      <c r="I31" s="580"/>
      <c r="J31" s="580">
        <v>25</v>
      </c>
      <c r="K31" s="580">
        <v>125</v>
      </c>
      <c r="L31" s="580"/>
      <c r="M31" s="580"/>
      <c r="N31" s="581"/>
      <c r="O31" s="581"/>
    </row>
    <row r="32">
      <c r="B32" s="579" t="s">
        <v>1220</v>
      </c>
      <c r="C32" s="580">
        <v>35</v>
      </c>
      <c r="D32" s="580">
        <v>300</v>
      </c>
      <c r="E32" s="580"/>
      <c r="F32" s="580"/>
      <c r="G32" s="580">
        <v>20</v>
      </c>
      <c r="H32" s="580">
        <v>300</v>
      </c>
      <c r="I32" s="580"/>
      <c r="J32" s="580">
        <v>20</v>
      </c>
      <c r="K32" s="580">
        <v>300</v>
      </c>
      <c r="L32" s="580"/>
      <c r="M32" s="580"/>
      <c r="N32" s="581"/>
      <c r="O32" s="581"/>
    </row>
    <row r="33">
      <c r="B33" s="579" t="s">
        <v>1221</v>
      </c>
      <c r="C33" s="580"/>
      <c r="D33" s="580"/>
      <c r="E33" s="580"/>
      <c r="F33" s="580"/>
      <c r="G33" s="580"/>
      <c r="H33" s="580"/>
      <c r="I33" s="580"/>
      <c r="J33" s="580"/>
      <c r="K33" s="580"/>
      <c r="L33" s="580"/>
      <c r="M33" s="580"/>
      <c r="N33" s="581"/>
      <c r="O33" s="581"/>
    </row>
    <row r="34">
      <c r="B34" s="579" t="s">
        <v>1222</v>
      </c>
      <c r="C34" s="580">
        <v>40</v>
      </c>
      <c r="D34" s="580"/>
      <c r="E34" s="580"/>
      <c r="F34" s="580"/>
      <c r="G34" s="580"/>
      <c r="H34" s="580">
        <v>300</v>
      </c>
      <c r="I34" s="580"/>
      <c r="J34" s="580"/>
      <c r="K34" s="580">
        <v>300</v>
      </c>
      <c r="L34" s="580"/>
      <c r="M34" s="580"/>
      <c r="N34" s="581"/>
      <c r="O34" s="581"/>
    </row>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t="s">
        <v>1220</v>
      </c>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t="s">
        <v>1221</v>
      </c>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t="s">
        <v>1222</v>
      </c>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