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Pro-forma" sheetId="1" r:id="rId1"/>
    <sheet name="T12" sheetId="2" r:id="rId2"/>
    <sheet name="RR" sheetId="3" r:id="rId3"/>
    <sheet name="Debt Current" sheetId="4" r:id="rId4"/>
    <sheet name="Debt Refinance" sheetId="6" r:id="rId5"/>
  </sheets>
  <definedNames>
    <definedName name="_xlnm._FilterDatabase" localSheetId="2" hidden="1">RR!$A$5:$Z$37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<sst xmlns="http://schemas.openxmlformats.org/spreadsheetml/2006/main" count="581" uniqueCount="443">
  <si>
    <t>Name: Cherry Commons</t>
  </si>
  <si>
    <t>Address: 1718 North Sydenham Street Philadelphia, PA 19121</t>
  </si>
  <si>
    <t>Last Updated:</t>
  </si>
  <si>
    <t>Project Summary</t>
  </si>
  <si>
    <t>Year Built</t>
  </si>
  <si>
    <t>Lot Size</t>
  </si>
  <si>
    <t>Building Size</t>
  </si>
  <si>
    <t>Ask Price</t>
  </si>
  <si>
    <t>Offer Price</t>
  </si>
  <si>
    <t>Occupancy Rate</t>
  </si>
  <si>
    <t>Total Apartment Units</t>
  </si>
  <si>
    <t>Total Current Retal Units</t>
  </si>
  <si>
    <t>Total Parking Spaces</t>
  </si>
  <si>
    <t>-</t>
  </si>
  <si>
    <t>Residential Rent Roll</t>
  </si>
  <si>
    <t>Unit Types</t>
  </si>
  <si>
    <t># Units</t>
  </si>
  <si>
    <t>Bedroom</t>
  </si>
  <si>
    <t>SQF</t>
  </si>
  <si>
    <t>As-is rent</t>
  </si>
  <si>
    <t>Growth</t>
  </si>
  <si>
    <t xml:space="preserve">As-is Rent </t>
  </si>
  <si>
    <t>Projected Rent</t>
  </si>
  <si>
    <t>1B</t>
  </si>
  <si>
    <t>2B</t>
  </si>
  <si>
    <t>2B Deluxe</t>
  </si>
  <si>
    <t>Total/average</t>
  </si>
  <si>
    <t>ASSUMPTIONS</t>
  </si>
  <si>
    <t>Tax Assessments</t>
  </si>
  <si>
    <t>Income</t>
  </si>
  <si>
    <t>Residential market annual rent growth</t>
  </si>
  <si>
    <t>Property</t>
  </si>
  <si>
    <t>Expenses</t>
  </si>
  <si>
    <t>Operating expenses growth rates</t>
  </si>
  <si>
    <t>Property taxes growth rates</t>
  </si>
  <si>
    <t>Total</t>
  </si>
  <si>
    <t>Exhibit 1 Meadow Lane Projection</t>
  </si>
  <si>
    <t>Pro Forma</t>
  </si>
  <si>
    <t>Year</t>
  </si>
  <si>
    <t>NOV2023-OCT2024</t>
  </si>
  <si>
    <t>NOV2024-OCT2025</t>
  </si>
  <si>
    <t>NOV2025-OCT2026</t>
  </si>
  <si>
    <t>NOV2026-OCT2027</t>
  </si>
  <si>
    <t>NOV2027-OCT2028</t>
  </si>
  <si>
    <t>NOV2028-OCT2029</t>
  </si>
  <si>
    <t>NOV2029-OCT2030</t>
  </si>
  <si>
    <t>REVENUE</t>
  </si>
  <si>
    <t>Stabilized</t>
  </si>
  <si>
    <t>Per Unit</t>
  </si>
  <si>
    <t>Rent Income</t>
  </si>
  <si>
    <t>Other Rental Income</t>
  </si>
  <si>
    <t>Application Fee Income</t>
  </si>
  <si>
    <t>NSF Fees Collected</t>
  </si>
  <si>
    <t>Late Fee</t>
  </si>
  <si>
    <t>Pet Fee</t>
  </si>
  <si>
    <t>Furniture Charge</t>
  </si>
  <si>
    <t>Laundry Income</t>
  </si>
  <si>
    <t>Insurance Services</t>
  </si>
  <si>
    <t>Utility Reimbursement Fee</t>
  </si>
  <si>
    <t>Concessions</t>
  </si>
  <si>
    <t>Total Revenue</t>
  </si>
  <si>
    <t>EXPENSES</t>
  </si>
  <si>
    <t>Cleaning and Janitorial Expense</t>
  </si>
  <si>
    <t>Maintenance Labor Expense</t>
  </si>
  <si>
    <t>Garbage and Recycling</t>
  </si>
  <si>
    <t>Pest control</t>
  </si>
  <si>
    <t>Property Insurance</t>
  </si>
  <si>
    <t>Insurance - Other</t>
  </si>
  <si>
    <t>Accounting</t>
  </si>
  <si>
    <t>Appfolio/Yardi</t>
  </si>
  <si>
    <t>Management Fee Expense</t>
  </si>
  <si>
    <t>Commissions/Placement Fee Expense</t>
  </si>
  <si>
    <t>Painting</t>
  </si>
  <si>
    <t>Plumbing</t>
  </si>
  <si>
    <t>Flooring</t>
  </si>
  <si>
    <t>HVAC (Heat Ventilation Air)</t>
  </si>
  <si>
    <t>Sub Contractor</t>
  </si>
  <si>
    <t>Key/Lock Replacement</t>
  </si>
  <si>
    <t>Security Service</t>
  </si>
  <si>
    <t>Roof /Exterior Repair</t>
  </si>
  <si>
    <t>Elevator Contract</t>
  </si>
  <si>
    <t>Elevator Repair Expense</t>
  </si>
  <si>
    <t>Appliance Repair</t>
  </si>
  <si>
    <t>Repairs - Other</t>
  </si>
  <si>
    <t>Supplies</t>
  </si>
  <si>
    <t>Property Tax</t>
  </si>
  <si>
    <t>Taxes - Other</t>
  </si>
  <si>
    <t>Licenses and Registration Fees</t>
  </si>
  <si>
    <t>Electricity</t>
  </si>
  <si>
    <t>Gas</t>
  </si>
  <si>
    <t>Water</t>
  </si>
  <si>
    <t>Telephone/Wifi</t>
  </si>
  <si>
    <t>Office Expense</t>
  </si>
  <si>
    <t>Salary Expense</t>
  </si>
  <si>
    <t>Bank Fees</t>
  </si>
  <si>
    <t>Advertising</t>
  </si>
  <si>
    <t>Meetings and Events</t>
  </si>
  <si>
    <t>Inspection Costs</t>
  </si>
  <si>
    <t>Total Expenses</t>
  </si>
  <si>
    <t>% of revenue</t>
  </si>
  <si>
    <t>Net Operating Income</t>
  </si>
  <si>
    <t>Adjustment</t>
  </si>
  <si>
    <t>Debt service</t>
  </si>
  <si>
    <t>Capex Reserves from Cash Flow</t>
  </si>
  <si>
    <t>Cash Flow after Debt Service</t>
  </si>
  <si>
    <t>Reserve for Capex</t>
  </si>
  <si>
    <t>Capex Reserves from 2025 Cash Flow</t>
  </si>
  <si>
    <t xml:space="preserve">DSCR </t>
  </si>
  <si>
    <t>CLOSING COSTS</t>
  </si>
  <si>
    <t>PURCHASE PRICE</t>
  </si>
  <si>
    <t>SALE EVENT (regular)</t>
  </si>
  <si>
    <t>SALE EVENT After refinance</t>
  </si>
  <si>
    <t>Due Diligence</t>
  </si>
  <si>
    <t>$</t>
  </si>
  <si>
    <t>Purchase Price (As-is value)</t>
  </si>
  <si>
    <t>Year of Sale</t>
  </si>
  <si>
    <t>Other</t>
  </si>
  <si>
    <t>Per Unit (Residential/Retail)</t>
  </si>
  <si>
    <t>Date</t>
  </si>
  <si>
    <t>Appraisal</t>
  </si>
  <si>
    <t>NOI for Year 1</t>
  </si>
  <si>
    <t>NOI of that Year</t>
  </si>
  <si>
    <t>Legal (Lender extra $27,900)</t>
  </si>
  <si>
    <t>Cap Rate on 2026 Income</t>
  </si>
  <si>
    <t>Cap Rate</t>
  </si>
  <si>
    <t>PER UNIT COST MUST BE UNDER $110K PER UNIT</t>
  </si>
  <si>
    <t>Credit Reports Lender Charges</t>
  </si>
  <si>
    <t>Closing Cost Percentage</t>
  </si>
  <si>
    <t>Value of Property</t>
  </si>
  <si>
    <t xml:space="preserve">Origination Fee &amp; Lender Fees </t>
  </si>
  <si>
    <t>Closing Costs</t>
  </si>
  <si>
    <t>Cost of sale</t>
  </si>
  <si>
    <t>Environmental &amp; PCA (Asbestos and Radon Extra)</t>
  </si>
  <si>
    <t>Total Acquisition Cost</t>
  </si>
  <si>
    <t>Loan of that Year (Beg of Year)</t>
  </si>
  <si>
    <t>Loan of that Year (Beg of OCT)</t>
  </si>
  <si>
    <t>Insurance Review</t>
  </si>
  <si>
    <t>Total Cost (excludes capex)</t>
  </si>
  <si>
    <t>Capital Transaction Fee to Sponsor</t>
  </si>
  <si>
    <t>Abstract and Title Charges besides Insurance</t>
  </si>
  <si>
    <t>Commitment Fee</t>
  </si>
  <si>
    <t>Final Proceeds from Sale</t>
  </si>
  <si>
    <t>Title Insurance</t>
  </si>
  <si>
    <t>Return of Capital</t>
  </si>
  <si>
    <t>Survey Fee</t>
  </si>
  <si>
    <t>Req return of capital to investors</t>
  </si>
  <si>
    <t>Percent Project</t>
  </si>
  <si>
    <t>Excess avail after return of capital</t>
  </si>
  <si>
    <t>Prepaid Tax</t>
  </si>
  <si>
    <t>Construction Equity</t>
  </si>
  <si>
    <t>Investor Profit</t>
  </si>
  <si>
    <t>Immediate Repairs</t>
  </si>
  <si>
    <t>Acquisition Reserves</t>
  </si>
  <si>
    <t>Percent to Investor</t>
  </si>
  <si>
    <t>Sponsor</t>
  </si>
  <si>
    <t>Tax Reserve</t>
  </si>
  <si>
    <t>Total 2026 Distribution reserves</t>
  </si>
  <si>
    <t>Investor</t>
  </si>
  <si>
    <t>Insurance Reserve</t>
  </si>
  <si>
    <t>Refinance Reserves</t>
  </si>
  <si>
    <t>Transfer of Membership Transaction (Yes = 0, No = 1)</t>
  </si>
  <si>
    <t>Total 2026-2030 Reserves</t>
  </si>
  <si>
    <t>County/State Transfer Tax (50/50 split)</t>
  </si>
  <si>
    <t>Total Capex Reserves</t>
  </si>
  <si>
    <t>Refinance EVENT</t>
  </si>
  <si>
    <t>Recordation Tax (50/50 split)</t>
  </si>
  <si>
    <t>Acquisition Fee (% of Asset Value)</t>
  </si>
  <si>
    <t>EQUITY REQUIRED (regular)</t>
  </si>
  <si>
    <t>Year of Refinance</t>
  </si>
  <si>
    <t>Closing</t>
  </si>
  <si>
    <t>Loan to Cost %</t>
  </si>
  <si>
    <t>LLC Transfer-Related Fees</t>
  </si>
  <si>
    <t>Equity</t>
  </si>
  <si>
    <t>LTPP</t>
  </si>
  <si>
    <t>Interest Reserve</t>
  </si>
  <si>
    <t>Cash Reserve</t>
  </si>
  <si>
    <t>Cash to Close</t>
  </si>
  <si>
    <t>New Loan Size</t>
  </si>
  <si>
    <t>Cost of Refinance (Include .25% Fee)</t>
  </si>
  <si>
    <t>Total Closing Costs</t>
  </si>
  <si>
    <t>Loan of that Year (End of Year)</t>
  </si>
  <si>
    <t>Yield Maintenance/Prepay</t>
  </si>
  <si>
    <t>Final Proceeds from Refinance</t>
  </si>
  <si>
    <t>Reserve for Unit Upgrades</t>
  </si>
  <si>
    <t>Refinance - 9 year sale</t>
  </si>
  <si>
    <t>Total Distribution</t>
  </si>
  <si>
    <t>WATERFALL DISTRIBUTIONS - INVESTORS</t>
  </si>
  <si>
    <t>FLAGS</t>
  </si>
  <si>
    <t>EQUITY REQUIRED (refin)</t>
  </si>
  <si>
    <t>I/O Payment</t>
  </si>
  <si>
    <t>Cash Flow After Debt Service &amp; Capex Reserves</t>
  </si>
  <si>
    <t>Asset Management Fee</t>
  </si>
  <si>
    <t>Cash Flow Available for Distribution</t>
  </si>
  <si>
    <t>Investor Equity Capital Account</t>
  </si>
  <si>
    <t>Beginning Investment Amount</t>
  </si>
  <si>
    <t>Annual preferred return</t>
  </si>
  <si>
    <t xml:space="preserve">Preferred return earned on unpaid capital </t>
  </si>
  <si>
    <t>Preferred return paid</t>
  </si>
  <si>
    <t>Accrued but unpaid preferred return</t>
  </si>
  <si>
    <t>Ending Investment Amount</t>
  </si>
  <si>
    <t>Excess Cash Flow</t>
  </si>
  <si>
    <t>Investor Portion of Excess Cash Flow</t>
  </si>
  <si>
    <t>Cash Flow from Refinance</t>
  </si>
  <si>
    <t>Cash Flow from Sale Proceeds</t>
  </si>
  <si>
    <t>Sale Proceeds after Closing Costs</t>
  </si>
  <si>
    <t>Return of Investor Remaining Capital</t>
  </si>
  <si>
    <t>Excess</t>
  </si>
  <si>
    <t>Investor Profit from Sale</t>
  </si>
  <si>
    <t>Cash to Investor</t>
  </si>
  <si>
    <t>Investor Cash Flow</t>
  </si>
  <si>
    <t>Annual Cash on Cash Return</t>
  </si>
  <si>
    <t xml:space="preserve">Multiple </t>
  </si>
  <si>
    <t>IRR</t>
  </si>
  <si>
    <t>1. Mortgage should be month by month</t>
  </si>
  <si>
    <t>12 Months Cash Flow Statement</t>
  </si>
  <si>
    <t>Cherry Commons - 1718 N Sydenham</t>
  </si>
  <si>
    <t>Period = Nov 2023-Oct 2025</t>
  </si>
  <si>
    <t>Book = Cash</t>
  </si>
  <si>
    <t>ACCOUNT</t>
  </si>
  <si>
    <t>INCOME</t>
  </si>
  <si>
    <t>RENTS</t>
  </si>
  <si>
    <t>TOTAL RENTS</t>
  </si>
  <si>
    <t>MANAGEMENT INCOME</t>
  </si>
  <si>
    <t>Maintenance Labor Fee Income and Materials Reimbursement</t>
  </si>
  <si>
    <t>Prepaid Rent</t>
  </si>
  <si>
    <t>TOTAL MANAGEMENT INCOME</t>
  </si>
  <si>
    <t>FEES</t>
  </si>
  <si>
    <t>Miscellaneous Income</t>
  </si>
  <si>
    <t>TOTAL FEES</t>
  </si>
  <si>
    <t>TOTAL REVENUE</t>
  </si>
  <si>
    <t>CLEANING AND JANITORIAL EXPENSE</t>
  </si>
  <si>
    <t>TOTAL CLEANING AND JANITORIAL EXPENSE</t>
  </si>
  <si>
    <t>INSURANCE</t>
  </si>
  <si>
    <t>TOTAL INSURANCE</t>
  </si>
  <si>
    <t>LEGAL AND OTHER PROFESSIONAL FEES</t>
  </si>
  <si>
    <t>Appfolio</t>
  </si>
  <si>
    <t>TOTAL LEGAL AND OTHER PROFESSIONAL FEES</t>
  </si>
  <si>
    <t>MANAGEMENT FEES EXPENSE</t>
  </si>
  <si>
    <t>TOTAL MANAGEMENT FEES EXPENSE</t>
  </si>
  <si>
    <t>MORTGAGE</t>
  </si>
  <si>
    <t>Mortgage Interest</t>
  </si>
  <si>
    <t>Mortgage - Other</t>
  </si>
  <si>
    <t>Other interest</t>
  </si>
  <si>
    <t>TOTAL MORTGAGE</t>
  </si>
  <si>
    <t>REPAIRS AND MAINTENANCE</t>
  </si>
  <si>
    <t>Roof Repair</t>
  </si>
  <si>
    <t>TOTAL REPAIRS AND MAINTENANCE</t>
  </si>
  <si>
    <t>TAXES</t>
  </si>
  <si>
    <t>TOTAL TAXES</t>
  </si>
  <si>
    <t>UTILITIES</t>
  </si>
  <si>
    <t>Telephone</t>
  </si>
  <si>
    <t>TOTAL UTILITIES</t>
  </si>
  <si>
    <t>ADMINISTRATIVE EXPENSES</t>
  </si>
  <si>
    <t>TOTAL ADMNISTRATIVE EXPENSES</t>
  </si>
  <si>
    <t>Marketing Expense</t>
  </si>
  <si>
    <t>TOTAL MARKETING EXPENSES</t>
  </si>
  <si>
    <t>BUILDING EXPENSES</t>
  </si>
  <si>
    <t>Depreciation expense</t>
  </si>
  <si>
    <t>Amortization Expense</t>
  </si>
  <si>
    <t>Refinance Fee Expense</t>
  </si>
  <si>
    <t>Miscellaneous Expense</t>
  </si>
  <si>
    <t>TOTAL BUILDING EXPENSES</t>
  </si>
  <si>
    <t>Depreciation Expense (Unused)</t>
  </si>
  <si>
    <t>PREFERRED RETURNS</t>
  </si>
  <si>
    <t>Guaranteed Payments</t>
  </si>
  <si>
    <t>Pref - Int - Ho Ruiming</t>
  </si>
  <si>
    <t>TOTAL PREFERRED PAYMENTS</t>
  </si>
  <si>
    <t>Ask My Accountant</t>
  </si>
  <si>
    <t>TOTAL EXPENSES</t>
  </si>
  <si>
    <t>NET INCOME</t>
  </si>
  <si>
    <t>ADJUSTMENTS</t>
  </si>
  <si>
    <t>Secondary Checking</t>
  </si>
  <si>
    <t>Escrow - Prepaid Property Taxes</t>
  </si>
  <si>
    <t>Escrow - Capex Reserves</t>
  </si>
  <si>
    <t>Reserves</t>
  </si>
  <si>
    <t>Investment in GLC Penn</t>
  </si>
  <si>
    <t>TOTAL CASH</t>
  </si>
  <si>
    <t>Buildings</t>
  </si>
  <si>
    <t>Building Improvements</t>
  </si>
  <si>
    <t>Building Depreciation</t>
  </si>
  <si>
    <t>5 Year Property</t>
  </si>
  <si>
    <t>Deferred Loan Costs</t>
  </si>
  <si>
    <t>Accumulated Amortization</t>
  </si>
  <si>
    <t>Intercompany Loan - Yu Dai</t>
  </si>
  <si>
    <t>Intercompany Loan - GL Capital</t>
  </si>
  <si>
    <t>Intercompany Loan - Global Leaders Capital</t>
  </si>
  <si>
    <t>Intercompany Loan - GLC Penn</t>
  </si>
  <si>
    <t>Owner Held Security Deposits</t>
  </si>
  <si>
    <t>Clearing Account</t>
  </si>
  <si>
    <t>Bank of America Credit Card</t>
  </si>
  <si>
    <t>Mortgage Payable</t>
  </si>
  <si>
    <t>TOTAL ACCOUNTS PAYABLE</t>
  </si>
  <si>
    <t>Member Contribution - Ruiming Ho</t>
  </si>
  <si>
    <t>Member Contribution - Richard Kind</t>
  </si>
  <si>
    <t>Member Contribution - GL Capital</t>
  </si>
  <si>
    <t>Member Contribution - Yu Dai</t>
  </si>
  <si>
    <t>Member Contribution - Wenhao Kelvin Fu</t>
  </si>
  <si>
    <t>Member Contribution - Zijian Zhang</t>
  </si>
  <si>
    <t>Member Contribution - Howell and Abbe Bichefsky</t>
  </si>
  <si>
    <t>Member Contribution - Josh Hinton</t>
  </si>
  <si>
    <t>Member Contribution Michael Kesselman</t>
  </si>
  <si>
    <t>Member Contribution - Amber Yue Dai</t>
  </si>
  <si>
    <t>Member Contribution - Steven Lichter</t>
  </si>
  <si>
    <t>Member Contribution - Jeffrey Lichter</t>
  </si>
  <si>
    <t>Member Contribution - Jay Weinstein</t>
  </si>
  <si>
    <t>Member Contribution - Kacy young and Lin Chen</t>
  </si>
  <si>
    <t>Member Contribution - Cimone and Alex Isaard</t>
  </si>
  <si>
    <t>Member Contribution - Money Monkey Investments</t>
  </si>
  <si>
    <t>Member Contribution - Jieren Wang (Jiang Hong)</t>
  </si>
  <si>
    <t>Member Contribution - Long Qian</t>
  </si>
  <si>
    <t>Member Contribution - Dongqing Zhang</t>
  </si>
  <si>
    <t>Member Contribution - Qing House LLC</t>
  </si>
  <si>
    <t>Member Contribution - Ran Tian</t>
  </si>
  <si>
    <t>Owner Distribution</t>
  </si>
  <si>
    <t>Member Distribution - Ho Ruiming</t>
  </si>
  <si>
    <t>Member Distribution - Richard Ke</t>
  </si>
  <si>
    <t>Retained Earnings</t>
  </si>
  <si>
    <r>
      <t>Prior Years Retained Earnings</t>
    </r>
    <r>
      <rPr>
        <sz val="8"/>
        <color rgb="FF000000"/>
        <rFont val="宋体"/>
        <charset val="134"/>
      </rPr>
      <t>（截至本报告期开始（即 Nov 2023）之前，历年累计的留存收益总额。是公司成立以来所有历史盈亏的积累，减去历史上已分配给成员的部分。</t>
    </r>
  </si>
  <si>
    <t>TOTAL ADJUSTMENTS</t>
  </si>
  <si>
    <t>CASH FLOW=NET INCOME+TOTAL ADJUSTMENT</t>
  </si>
  <si>
    <t>Operating Cash</t>
  </si>
  <si>
    <t>Beginning Balance</t>
  </si>
  <si>
    <t>Ending Balance</t>
  </si>
  <si>
    <t>Difference</t>
  </si>
  <si>
    <t>Other Checking</t>
  </si>
  <si>
    <t>Cash-Security Deposit</t>
  </si>
  <si>
    <t>Rent Roll</t>
  </si>
  <si>
    <t>Property =  Cherry Commons - 1718 N Sydenham</t>
  </si>
  <si>
    <t>As Of = 11/12/2025</t>
  </si>
  <si>
    <t>Month = 11/2025</t>
  </si>
  <si>
    <t>Unit</t>
  </si>
  <si>
    <t>Tenant Name</t>
  </si>
  <si>
    <t>Actual</t>
  </si>
  <si>
    <t>Actual Rent</t>
  </si>
  <si>
    <t>Tenant</t>
  </si>
  <si>
    <t>Misc</t>
  </si>
  <si>
    <t>Move In</t>
  </si>
  <si>
    <t>Lease</t>
  </si>
  <si>
    <t>Move Out</t>
  </si>
  <si>
    <t>Balance</t>
  </si>
  <si>
    <t>SqFt</t>
  </si>
  <si>
    <t>Rent</t>
  </si>
  <si>
    <t>per Sqft</t>
  </si>
  <si>
    <t>Deposit</t>
  </si>
  <si>
    <t>Expiration</t>
  </si>
  <si>
    <t>Current/Notice/Vacant Tenants</t>
  </si>
  <si>
    <t>1A</t>
  </si>
  <si>
    <t>Adam Ha</t>
  </si>
  <si>
    <t>Wenjie Shen</t>
  </si>
  <si>
    <t>1C</t>
  </si>
  <si>
    <t>Fiona Kwok</t>
  </si>
  <si>
    <t>1D</t>
  </si>
  <si>
    <t>Jake Naese</t>
  </si>
  <si>
    <t>1E</t>
  </si>
  <si>
    <t>OCCUPIED</t>
  </si>
  <si>
    <t>1F</t>
  </si>
  <si>
    <t>Brian ODell</t>
  </si>
  <si>
    <t>2A</t>
  </si>
  <si>
    <t>Zhongying Huang</t>
  </si>
  <si>
    <t>Shimin Yang</t>
  </si>
  <si>
    <t>2C</t>
  </si>
  <si>
    <t>You Wang</t>
  </si>
  <si>
    <t>2D</t>
  </si>
  <si>
    <t>Justin Ok</t>
  </si>
  <si>
    <t>2E</t>
  </si>
  <si>
    <t>Nicholas Afanassiev</t>
  </si>
  <si>
    <t>2F</t>
  </si>
  <si>
    <t>Anna Beshoar</t>
  </si>
  <si>
    <t>2G</t>
  </si>
  <si>
    <t>Xinyue Zhang</t>
  </si>
  <si>
    <t>3A</t>
  </si>
  <si>
    <t>Dinala Hailati</t>
  </si>
  <si>
    <t>3B</t>
  </si>
  <si>
    <t>Zachary Kaminskyj</t>
  </si>
  <si>
    <t>3C</t>
  </si>
  <si>
    <t>John Kim</t>
  </si>
  <si>
    <t>3D</t>
  </si>
  <si>
    <t>Evan Blake</t>
  </si>
  <si>
    <t>3E</t>
  </si>
  <si>
    <t>Julien Rudolph</t>
  </si>
  <si>
    <t>3F</t>
  </si>
  <si>
    <t>Jiyao Liu</t>
  </si>
  <si>
    <t>3G</t>
  </si>
  <si>
    <t>Hu Qi</t>
  </si>
  <si>
    <t>4A</t>
  </si>
  <si>
    <t>Julia Krasowska-Zoladek</t>
  </si>
  <si>
    <t>4B</t>
  </si>
  <si>
    <t>Jun Luo</t>
  </si>
  <si>
    <t>4C</t>
  </si>
  <si>
    <t>Nandini Kulkarni</t>
  </si>
  <si>
    <t>4D</t>
  </si>
  <si>
    <t>Adriana Roman</t>
  </si>
  <si>
    <t>4E</t>
  </si>
  <si>
    <t>Zhuo Qiao</t>
  </si>
  <si>
    <t>4F</t>
  </si>
  <si>
    <t>Trent Phillips</t>
  </si>
  <si>
    <t>4G</t>
  </si>
  <si>
    <t>Yichuan Jin</t>
  </si>
  <si>
    <t>3B-1</t>
  </si>
  <si>
    <t>Trent Wilkinson</t>
  </si>
  <si>
    <t>Summary Groups</t>
  </si>
  <si>
    <t>Square</t>
  </si>
  <si>
    <t>Security</t>
  </si>
  <si>
    <t># Of</t>
  </si>
  <si>
    <t>% Unit</t>
  </si>
  <si>
    <t>% Sqft</t>
  </si>
  <si>
    <t>Footage</t>
  </si>
  <si>
    <t>Deposits</t>
  </si>
  <si>
    <t>Units</t>
  </si>
  <si>
    <t>Occupancy</t>
  </si>
  <si>
    <t>Occupied</t>
  </si>
  <si>
    <t>Future Tenants/Applicants</t>
  </si>
  <si>
    <t>Occupied Units</t>
  </si>
  <si>
    <t>Total Non Rev Units</t>
  </si>
  <si>
    <t>Total Vacant Units</t>
  </si>
  <si>
    <t>Totals:</t>
  </si>
  <si>
    <t>Loan Amount</t>
  </si>
  <si>
    <t xml:space="preserve">  </t>
  </si>
  <si>
    <t>Principal</t>
  </si>
  <si>
    <t>Interest per annum</t>
  </si>
  <si>
    <t>Interest per month</t>
  </si>
  <si>
    <t>Mortgage Constant</t>
  </si>
  <si>
    <t>Commencement date</t>
  </si>
  <si>
    <t>Final maturity date</t>
  </si>
  <si>
    <t>Duration (Years)</t>
  </si>
  <si>
    <t>Duration (Months)</t>
  </si>
  <si>
    <t>Mortgage Insurance Premium</t>
  </si>
  <si>
    <t>Mortgage Insurance Premium per annum</t>
  </si>
  <si>
    <t>Mortgage Insurance Premium per month</t>
  </si>
  <si>
    <r>
      <t xml:space="preserve">Annual Mortgage Payments </t>
    </r>
    <r>
      <rPr>
        <sz val="11"/>
        <color theme="1"/>
        <rFont val="宋体"/>
        <charset val="134"/>
      </rPr>
      <t>每年房贷还款额</t>
    </r>
  </si>
  <si>
    <t>Interest per year Payment</t>
  </si>
  <si>
    <t># Month</t>
  </si>
  <si>
    <t>Month</t>
  </si>
  <si>
    <t>Beg Bal</t>
  </si>
  <si>
    <t>Mortgage Payment</t>
  </si>
  <si>
    <t>Interest</t>
  </si>
  <si>
    <t>Amortization</t>
  </si>
  <si>
    <t>End Bal</t>
  </si>
  <si>
    <t>Insurance Premium</t>
  </si>
  <si>
    <t>Mortgage + Insurance Premium</t>
  </si>
  <si>
    <t>Yearly MIP</t>
  </si>
  <si>
    <t>Annual Mortgage Payments</t>
  </si>
  <si>
    <t>I/O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</si>
</sst>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_);_(* \(#,##0\);_(* &quot;-&quot;??_);_(@_)"/>
    <numFmt numFmtId="177" formatCode="_(&quot;$&quot;* #,##0_);_(&quot;$&quot;* \(#,##0\);_(&quot;$&quot;* &quot;-&quot;??_);_(@_)"/>
    <numFmt numFmtId="178" formatCode="0.000%"/>
    <numFmt numFmtId="179" formatCode="_(* #,##0.00_);_(* \(#,##0.00\);_(* &quot;-&quot;??_);_(@_)"/>
    <numFmt numFmtId="180" formatCode="[$-409]d\-mmm\-yy"/>
    <numFmt numFmtId="181" formatCode="mm/dd/yyyy"/>
    <numFmt numFmtId="182" formatCode="mmm\ yyyy"/>
    <numFmt numFmtId="183" formatCode="mmmm\ yyyy"/>
    <numFmt numFmtId="184" formatCode="dd\-mmmm\-yy"/>
    <numFmt numFmtId="185" formatCode="0.0%"/>
    <numFmt numFmtId="186" formatCode="_(&quot;$&quot;* #,##0.00_);_(&quot;$&quot;* \(#,##0.00\);_(&quot;$&quot;* &quot;-&quot;??_);_(@_)"/>
    <numFmt numFmtId="187" formatCode="&quot;$&quot;#,##0.00"/>
    <numFmt numFmtId="188" formatCode="&quot;$&quot;#,##0"/>
    <numFmt numFmtId="189" formatCode="0.0000"/>
    <numFmt numFmtId="190" formatCode="_(&quot;$&quot;* #,##0.000_);_(&quot;$&quot;* \(#,##0.000\);_(&quot;$&quot;* &quot;-&quot;???_);_(@_)"/>
    <numFmt numFmtId="191" formatCode="_(* #,##0.0_);_(* \(#,##0.0\);_(* &quot;-&quot;?_);_(@_)"/>
    <numFmt numFmtId="192" formatCode="#,##0.0"/>
  </numFmts>
  <fonts count="58">
    <font>
      <sz val="11"/>
      <color theme="1"/>
      <name val="Calibri"/>
      <charset val="134"/>
      <scheme val="minor"/>
    </font>
    <font>
      <b/>
      <sz val="15"/>
      <color rgb="FF44546A"/>
      <name val="Calibri"/>
      <charset val="134"/>
    </font>
    <font>
      <sz val="11"/>
      <color theme="1"/>
      <name val="Calibri"/>
      <charset val="134"/>
    </font>
    <font>
      <sz val="11"/>
      <color rgb="FFFA7D00"/>
      <name val="Calibri"/>
      <charset val="134"/>
    </font>
    <font>
      <sz val="11"/>
      <color rgb="FF3F3F76"/>
      <name val="Calibri"/>
      <charset val="134"/>
    </font>
    <font>
      <b/>
      <sz val="11"/>
      <color theme="1"/>
      <name val="Calibri"/>
      <charset val="134"/>
    </font>
    <font>
      <b/>
      <sz val="11"/>
      <color rgb="FFFA7D00"/>
      <name val="Calibri"/>
      <charset val="134"/>
    </font>
    <font>
      <b/>
      <sz val="11"/>
      <color rgb="FF000000"/>
      <name val="Tahoma"/>
      <charset val="134"/>
    </font>
    <font>
      <sz val="8"/>
      <color rgb="FF505050"/>
      <name val="Tahoma"/>
      <charset val="134"/>
    </font>
    <font>
      <b/>
      <sz val="8"/>
      <color rgb="FF000000"/>
      <name val="Tahoma"/>
      <charset val="134"/>
    </font>
    <font>
      <sz val="8"/>
      <color rgb="FF000000"/>
      <name val="Tahoma"/>
      <charset val="134"/>
    </font>
    <font>
      <sz val="8"/>
      <color rgb="FFFF0000"/>
      <name val="Tahoma"/>
      <charset val="134"/>
    </font>
    <font>
      <sz val="10"/>
      <color theme="1"/>
      <name val="Calibri"/>
      <charset val="134"/>
    </font>
    <font>
      <b/>
      <sz val="10"/>
      <color theme="1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4"/>
      <color theme="1"/>
      <name val="Calibri"/>
      <charset val="134"/>
    </font>
    <font>
      <sz val="10"/>
      <color rgb="FFA5A5A5"/>
      <name val="Calibri"/>
      <charset val="134"/>
    </font>
    <font>
      <b/>
      <u/>
      <sz val="10"/>
      <color theme="1"/>
      <name val="Calibri"/>
      <charset val="134"/>
    </font>
    <font>
      <sz val="10"/>
      <color rgb="FF000000"/>
      <name val="Calibri"/>
      <charset val="134"/>
    </font>
    <font>
      <b/>
      <sz val="10"/>
      <color rgb="FF000000"/>
      <name val="Calibri"/>
      <charset val="134"/>
    </font>
    <font>
      <i/>
      <sz val="10"/>
      <color theme="1"/>
      <name val="Calibri"/>
      <charset val="134"/>
    </font>
    <font>
      <i/>
      <sz val="10"/>
      <color rgb="FF000000"/>
      <name val="Calibri"/>
      <charset val="134"/>
    </font>
    <font>
      <b/>
      <sz val="10"/>
      <color rgb="FFA5A5A5"/>
      <name val="Calibri"/>
      <charset val="134"/>
    </font>
    <font>
      <sz val="10"/>
      <color rgb="FFFF0000"/>
      <name val="Calibri"/>
      <charset val="134"/>
    </font>
    <font>
      <sz val="11"/>
      <color rgb="FFFF0000"/>
      <name val="Calibri"/>
      <charset val="134"/>
    </font>
    <font>
      <b/>
      <u/>
      <sz val="12"/>
      <color theme="1"/>
      <name val="Calibri"/>
      <charset val="134"/>
    </font>
    <font>
      <sz val="12"/>
      <color theme="1"/>
      <name val="Calibri"/>
      <charset val="134"/>
    </font>
    <font>
      <sz val="12"/>
      <color rgb="FF000000"/>
      <name val="Calibri"/>
      <charset val="134"/>
    </font>
    <font>
      <b/>
      <sz val="10"/>
      <color rgb="FFFF0000"/>
      <name val="Calibri"/>
      <charset val="134"/>
    </font>
    <font>
      <b/>
      <sz val="12"/>
      <color rgb="FF000000"/>
      <name val="Calibri"/>
      <charset val="134"/>
    </font>
    <font>
      <b/>
      <sz val="13"/>
      <color theme="1"/>
      <name val="Calibri"/>
      <charset val="134"/>
    </font>
    <font>
      <sz val="13"/>
      <color theme="1"/>
      <name val="Calibri"/>
      <charset val="134"/>
    </font>
    <font>
      <sz val="13"/>
      <color rgb="FFBAD1F4"/>
      <name val="Calibri"/>
      <charset val="134"/>
    </font>
    <font>
      <sz val="13"/>
      <color rgb="FFA8D08D"/>
      <name val="Calibri"/>
      <charset val="134"/>
    </font>
    <font>
      <sz val="14"/>
      <color theme="1"/>
      <name val="Calibri"/>
      <charset val="134"/>
    </font>
    <font>
      <b/>
      <sz val="14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color rgb="FF000000"/>
      <name val="宋体"/>
      <charset val="134"/>
    </font>
    <font>
      <sz val="11"/>
      <color theme="1"/>
      <name val="宋体"/>
      <charset val="134"/>
    </font>
  </fonts>
  <fills count="76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theme="5" tint="-0.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ECC99"/>
        <bgColor rgb="FFFECC99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DEEBF7"/>
        <bgColor rgb="FFDEEBF7"/>
      </patternFill>
    </fill>
    <fill>
      <patternFill patternType="solid">
        <fgColor rgb="FFA8D08D"/>
        <bgColor rgb="FFA8D08D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FCD99"/>
        <bgColor rgb="FFFFCD99"/>
      </patternFill>
    </fill>
    <fill>
      <patternFill patternType="solid">
        <fgColor rgb="FFCBDDF5"/>
        <bgColor rgb="FFCBDDF5"/>
      </patternFill>
    </fill>
    <fill>
      <patternFill patternType="solid">
        <fgColor rgb="FFE9F0FE"/>
        <bgColor rgb="FFE9F0FE"/>
      </patternFill>
    </fill>
    <fill>
      <patternFill patternType="solid">
        <fgColor rgb="FFE9EFFD"/>
        <bgColor rgb="FFE9EFFD"/>
      </patternFill>
    </fill>
    <fill>
      <patternFill patternType="solid">
        <fgColor rgb="FFA5CF8B"/>
        <bgColor rgb="FFA5CF8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7F7F7F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7F7F7F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theme="1"/>
      </left>
      <right style="thin">
        <color rgb="FF000000"/>
      </right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47" borderId="53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54" applyNumberFormat="0" applyFill="0" applyAlignment="0" applyProtection="0">
      <alignment vertical="center"/>
    </xf>
    <xf numFmtId="0" fontId="43" fillId="0" borderId="54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48" borderId="3" applyNumberFormat="0" applyAlignment="0" applyProtection="0">
      <alignment vertical="center"/>
    </xf>
    <xf numFmtId="0" fontId="46" fillId="49" borderId="56" applyNumberFormat="0" applyAlignment="0" applyProtection="0">
      <alignment vertical="center"/>
    </xf>
    <xf numFmtId="0" fontId="47" fillId="49" borderId="3" applyNumberFormat="0" applyAlignment="0" applyProtection="0">
      <alignment vertical="center"/>
    </xf>
    <xf numFmtId="0" fontId="48" fillId="50" borderId="57" applyNumberFormat="0" applyAlignment="0" applyProtection="0">
      <alignment vertical="center"/>
    </xf>
    <xf numFmtId="0" fontId="49" fillId="0" borderId="2" applyNumberFormat="0" applyFill="0" applyAlignment="0" applyProtection="0">
      <alignment vertical="center"/>
    </xf>
    <xf numFmtId="0" fontId="50" fillId="0" borderId="58" applyNumberFormat="0" applyFill="0" applyAlignment="0" applyProtection="0">
      <alignment vertical="center"/>
    </xf>
    <xf numFmtId="0" fontId="51" fillId="51" borderId="0" applyNumberFormat="0" applyBorder="0" applyAlignment="0" applyProtection="0">
      <alignment vertical="center"/>
    </xf>
    <xf numFmtId="0" fontId="52" fillId="52" borderId="0" applyNumberFormat="0" applyBorder="0" applyAlignment="0" applyProtection="0">
      <alignment vertical="center"/>
    </xf>
    <xf numFmtId="0" fontId="53" fillId="53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4" fillId="57" borderId="0" applyNumberFormat="0" applyBorder="0" applyAlignment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55" fillId="59" borderId="0" applyNumberFormat="0" applyBorder="0" applyAlignment="0" applyProtection="0">
      <alignment vertical="center"/>
    </xf>
    <xf numFmtId="0" fontId="54" fillId="60" borderId="0" applyNumberFormat="0" applyBorder="0" applyAlignment="0" applyProtection="0">
      <alignment vertical="center"/>
    </xf>
    <xf numFmtId="0" fontId="54" fillId="61" borderId="0" applyNumberFormat="0" applyBorder="0" applyAlignment="0" applyProtection="0">
      <alignment vertical="center"/>
    </xf>
    <xf numFmtId="0" fontId="55" fillId="62" borderId="0" applyNumberFormat="0" applyBorder="0" applyAlignment="0" applyProtection="0">
      <alignment vertical="center"/>
    </xf>
    <xf numFmtId="0" fontId="55" fillId="63" borderId="0" applyNumberFormat="0" applyBorder="0" applyAlignment="0" applyProtection="0">
      <alignment vertical="center"/>
    </xf>
    <xf numFmtId="0" fontId="54" fillId="64" borderId="0" applyNumberFormat="0" applyBorder="0" applyAlignment="0" applyProtection="0">
      <alignment vertical="center"/>
    </xf>
    <xf numFmtId="0" fontId="54" fillId="65" borderId="0" applyNumberFormat="0" applyBorder="0" applyAlignment="0" applyProtection="0">
      <alignment vertical="center"/>
    </xf>
    <xf numFmtId="0" fontId="55" fillId="66" borderId="0" applyNumberFormat="0" applyBorder="0" applyAlignment="0" applyProtection="0">
      <alignment vertical="center"/>
    </xf>
    <xf numFmtId="0" fontId="55" fillId="67" borderId="0" applyNumberFormat="0" applyBorder="0" applyAlignment="0" applyProtection="0">
      <alignment vertical="center"/>
    </xf>
    <xf numFmtId="0" fontId="54" fillId="68" borderId="0" applyNumberFormat="0" applyBorder="0" applyAlignment="0" applyProtection="0">
      <alignment vertical="center"/>
    </xf>
    <xf numFmtId="0" fontId="54" fillId="69" borderId="0" applyNumberFormat="0" applyBorder="0" applyAlignment="0" applyProtection="0">
      <alignment vertical="center"/>
    </xf>
    <xf numFmtId="0" fontId="55" fillId="70" borderId="0" applyNumberFormat="0" applyBorder="0" applyAlignment="0" applyProtection="0">
      <alignment vertical="center"/>
    </xf>
    <xf numFmtId="0" fontId="55" fillId="71" borderId="0" applyNumberFormat="0" applyBorder="0" applyAlignment="0" applyProtection="0">
      <alignment vertical="center"/>
    </xf>
    <xf numFmtId="0" fontId="54" fillId="72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5" fillId="73" borderId="0" applyNumberFormat="0" applyBorder="0" applyAlignment="0" applyProtection="0">
      <alignment vertical="center"/>
    </xf>
    <xf numFmtId="0" fontId="55" fillId="74" borderId="0" applyNumberFormat="0" applyBorder="0" applyAlignment="0" applyProtection="0">
      <alignment vertical="center"/>
    </xf>
    <xf numFmtId="0" fontId="54" fillId="75" borderId="0" applyNumberFormat="0" applyBorder="0" applyAlignment="0" applyProtection="0">
      <alignment vertical="center"/>
    </xf>
  </cellStyleXfs>
  <cellXfs count="410">
    <xf numFmtId="0" fontId="0" fillId="0" borderId="0" xfId="0" applyFont="1" applyAlignment="1"/>
    <xf numFmtId="0" fontId="1" fillId="0" borderId="1" xfId="0" applyFont="1" applyBorder="1" applyAlignment="1">
      <alignment vertical="top"/>
    </xf>
    <xf numFmtId="0" fontId="2" fillId="0" borderId="0" xfId="0" applyFont="1"/>
    <xf numFmtId="176" fontId="3" fillId="0" borderId="2" xfId="0" applyNumberFormat="1" applyFont="1" applyBorder="1"/>
    <xf numFmtId="177" fontId="2" fillId="0" borderId="0" xfId="0" applyNumberFormat="1" applyFont="1"/>
    <xf numFmtId="178" fontId="2" fillId="0" borderId="0" xfId="0" applyNumberFormat="1" applyFont="1"/>
    <xf numFmtId="179" fontId="4" fillId="2" borderId="3" xfId="0" applyNumberFormat="1" applyFont="1" applyFill="1" applyBorder="1"/>
    <xf numFmtId="10" fontId="4" fillId="3" borderId="3" xfId="0" applyNumberFormat="1" applyFont="1" applyFill="1" applyBorder="1"/>
    <xf numFmtId="10" fontId="2" fillId="0" borderId="0" xfId="0" applyNumberFormat="1" applyFont="1"/>
    <xf numFmtId="180" fontId="2" fillId="0" borderId="0" xfId="0" applyNumberFormat="1" applyFont="1"/>
    <xf numFmtId="0" fontId="4" fillId="2" borderId="3" xfId="0" applyFont="1" applyFill="1" applyBorder="1"/>
    <xf numFmtId="0" fontId="5" fillId="0" borderId="0" xfId="0" applyFont="1"/>
    <xf numFmtId="10" fontId="4" fillId="2" borderId="3" xfId="0" applyNumberFormat="1" applyFont="1" applyFill="1" applyBorder="1"/>
    <xf numFmtId="179" fontId="6" fillId="4" borderId="3" xfId="0" applyNumberFormat="1" applyFont="1" applyFill="1" applyBorder="1"/>
    <xf numFmtId="179" fontId="2" fillId="0" borderId="0" xfId="0" applyNumberFormat="1" applyFont="1"/>
    <xf numFmtId="0" fontId="2" fillId="0" borderId="0" xfId="0" applyFont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180" fontId="2" fillId="0" borderId="0" xfId="0" applyNumberFormat="1" applyFont="1" applyAlignment="1">
      <alignment horizontal="right"/>
    </xf>
    <xf numFmtId="0" fontId="2" fillId="5" borderId="0" xfId="0" applyFont="1" applyFill="1" applyBorder="1"/>
    <xf numFmtId="0" fontId="2" fillId="6" borderId="0" xfId="0" applyFont="1" applyFill="1" applyBorder="1"/>
    <xf numFmtId="180" fontId="2" fillId="6" borderId="0" xfId="0" applyNumberFormat="1" applyFont="1" applyFill="1" applyAlignment="1">
      <alignment horizontal="right"/>
    </xf>
    <xf numFmtId="179" fontId="2" fillId="6" borderId="0" xfId="0" applyNumberFormat="1" applyFont="1" applyFill="1" applyBorder="1"/>
    <xf numFmtId="176" fontId="3" fillId="0" borderId="2" xfId="0" applyNumberFormat="1" applyFont="1" applyBorder="1" applyAlignment="1">
      <alignment horizontal="right"/>
    </xf>
    <xf numFmtId="177" fontId="2" fillId="0" borderId="0" xfId="0" applyNumberFormat="1" applyFont="1" applyAlignment="1">
      <alignment horizontal="right"/>
    </xf>
    <xf numFmtId="178" fontId="2" fillId="0" borderId="0" xfId="0" applyNumberFormat="1" applyFont="1" applyAlignment="1">
      <alignment horizontal="right"/>
    </xf>
    <xf numFmtId="179" fontId="4" fillId="2" borderId="3" xfId="0" applyNumberFormat="1" applyFont="1" applyFill="1" applyBorder="1" applyAlignment="1">
      <alignment horizontal="right"/>
    </xf>
    <xf numFmtId="10" fontId="4" fillId="3" borderId="3" xfId="0" applyNumberFormat="1" applyFont="1" applyFill="1" applyBorder="1" applyAlignment="1">
      <alignment horizontal="right"/>
    </xf>
    <xf numFmtId="10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4" fillId="2" borderId="3" xfId="0" applyFont="1" applyFill="1" applyBorder="1" applyAlignment="1">
      <alignment horizontal="right"/>
    </xf>
    <xf numFmtId="10" fontId="4" fillId="2" borderId="3" xfId="0" applyNumberFormat="1" applyFont="1" applyFill="1" applyBorder="1" applyAlignment="1">
      <alignment horizontal="right"/>
    </xf>
    <xf numFmtId="179" fontId="6" fillId="4" borderId="3" xfId="0" applyNumberFormat="1" applyFont="1" applyFill="1" applyBorder="1" applyAlignment="1">
      <alignment horizontal="right"/>
    </xf>
    <xf numFmtId="179" fontId="2" fillId="0" borderId="0" xfId="0" applyNumberFormat="1" applyFont="1" applyAlignment="1">
      <alignment horizontal="right"/>
    </xf>
    <xf numFmtId="0" fontId="5" fillId="0" borderId="4" xfId="0" applyFont="1" applyBorder="1" applyAlignment="1">
      <alignment wrapText="1"/>
    </xf>
    <xf numFmtId="0" fontId="2" fillId="6" borderId="0" xfId="0" applyFont="1" applyFill="1" applyBorder="1" applyAlignment="1">
      <alignment horizontal="right"/>
    </xf>
    <xf numFmtId="179" fontId="2" fillId="6" borderId="0" xfId="0" applyNumberFormat="1" applyFont="1" applyFill="1" applyBorder="1" applyAlignment="1">
      <alignment horizontal="right"/>
    </xf>
    <xf numFmtId="0" fontId="2" fillId="3" borderId="0" xfId="0" applyFont="1" applyFill="1"/>
    <xf numFmtId="0" fontId="2" fillId="3" borderId="0" xfId="0" applyFont="1" applyFill="1" applyAlignment="1">
      <alignment horizontal="right"/>
    </xf>
    <xf numFmtId="180" fontId="2" fillId="3" borderId="0" xfId="0" applyNumberFormat="1" applyFont="1" applyFill="1" applyAlignment="1">
      <alignment horizontal="right"/>
    </xf>
    <xf numFmtId="179" fontId="2" fillId="3" borderId="0" xfId="0" applyNumberFormat="1" applyFont="1" applyFill="1" applyAlignment="1">
      <alignment horizontal="right"/>
    </xf>
    <xf numFmtId="4" fontId="2" fillId="0" borderId="0" xfId="0" applyNumberFormat="1" applyFont="1"/>
    <xf numFmtId="181" fontId="2" fillId="0" borderId="0" xfId="0" applyNumberFormat="1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7" borderId="4" xfId="0" applyFont="1" applyFill="1" applyBorder="1" applyAlignment="1">
      <alignment horizontal="left"/>
    </xf>
    <xf numFmtId="182" fontId="9" fillId="7" borderId="4" xfId="0" applyNumberFormat="1" applyFont="1" applyFill="1" applyBorder="1" applyAlignment="1">
      <alignment horizontal="center"/>
    </xf>
    <xf numFmtId="183" fontId="9" fillId="7" borderId="4" xfId="0" applyNumberFormat="1" applyFont="1" applyFill="1" applyBorder="1" applyAlignment="1">
      <alignment horizontal="center"/>
    </xf>
    <xf numFmtId="0" fontId="9" fillId="7" borderId="4" xfId="0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10" fillId="8" borderId="0" xfId="0" applyFont="1" applyFill="1" applyAlignment="1">
      <alignment horizontal="left"/>
    </xf>
    <xf numFmtId="0" fontId="10" fillId="9" borderId="0" xfId="0" applyFont="1" applyFill="1" applyAlignment="1">
      <alignment horizontal="left"/>
    </xf>
    <xf numFmtId="0" fontId="10" fillId="10" borderId="0" xfId="0" applyFont="1" applyFill="1" applyAlignment="1">
      <alignment horizontal="left"/>
    </xf>
    <xf numFmtId="4" fontId="10" fillId="0" borderId="0" xfId="0" applyNumberFormat="1" applyFont="1" applyAlignment="1">
      <alignment horizontal="right"/>
    </xf>
    <xf numFmtId="4" fontId="10" fillId="0" borderId="5" xfId="0" applyNumberFormat="1" applyFont="1" applyBorder="1" applyAlignment="1">
      <alignment horizontal="right"/>
    </xf>
    <xf numFmtId="0" fontId="10" fillId="11" borderId="0" xfId="0" applyFont="1" applyFill="1" applyAlignment="1">
      <alignment horizontal="left"/>
    </xf>
    <xf numFmtId="0" fontId="10" fillId="12" borderId="0" xfId="0" applyFont="1" applyFill="1" applyAlignment="1">
      <alignment horizontal="left"/>
    </xf>
    <xf numFmtId="0" fontId="10" fillId="0" borderId="5" xfId="0" applyFont="1" applyBorder="1" applyAlignment="1">
      <alignment horizontal="right"/>
    </xf>
    <xf numFmtId="0" fontId="10" fillId="13" borderId="0" xfId="0" applyFont="1" applyFill="1" applyAlignment="1">
      <alignment horizontal="left"/>
    </xf>
    <xf numFmtId="0" fontId="10" fillId="14" borderId="0" xfId="0" applyFont="1" applyFill="1" applyAlignment="1">
      <alignment horizontal="left"/>
    </xf>
    <xf numFmtId="0" fontId="10" fillId="15" borderId="0" xfId="0" applyFont="1" applyFill="1" applyAlignment="1">
      <alignment horizontal="left"/>
    </xf>
    <xf numFmtId="0" fontId="10" fillId="16" borderId="0" xfId="0" applyFont="1" applyFill="1" applyAlignment="1">
      <alignment horizontal="left"/>
    </xf>
    <xf numFmtId="0" fontId="10" fillId="17" borderId="0" xfId="0" applyFont="1" applyFill="1" applyAlignment="1">
      <alignment horizontal="left"/>
    </xf>
    <xf numFmtId="0" fontId="10" fillId="18" borderId="0" xfId="0" applyFont="1" applyFill="1" applyAlignment="1">
      <alignment horizontal="left"/>
    </xf>
    <xf numFmtId="0" fontId="10" fillId="19" borderId="0" xfId="0" applyFont="1" applyFill="1" applyAlignment="1">
      <alignment horizontal="left"/>
    </xf>
    <xf numFmtId="0" fontId="10" fillId="20" borderId="0" xfId="0" applyFont="1" applyFill="1" applyAlignment="1">
      <alignment horizontal="left"/>
    </xf>
    <xf numFmtId="0" fontId="10" fillId="21" borderId="0" xfId="0" applyFont="1" applyFill="1" applyAlignment="1">
      <alignment horizontal="left"/>
    </xf>
    <xf numFmtId="0" fontId="10" fillId="22" borderId="0" xfId="0" applyFont="1" applyFill="1" applyAlignment="1">
      <alignment horizontal="left"/>
    </xf>
    <xf numFmtId="0" fontId="10" fillId="23" borderId="0" xfId="0" applyFont="1" applyFill="1" applyAlignment="1">
      <alignment horizontal="left"/>
    </xf>
    <xf numFmtId="0" fontId="10" fillId="24" borderId="0" xfId="0" applyFont="1" applyFill="1" applyAlignment="1">
      <alignment horizontal="left"/>
    </xf>
    <xf numFmtId="0" fontId="10" fillId="25" borderId="0" xfId="0" applyFont="1" applyFill="1" applyAlignment="1">
      <alignment horizontal="left"/>
    </xf>
    <xf numFmtId="0" fontId="10" fillId="26" borderId="0" xfId="0" applyFont="1" applyFill="1" applyAlignment="1">
      <alignment horizontal="left"/>
    </xf>
    <xf numFmtId="0" fontId="10" fillId="27" borderId="0" xfId="0" applyFont="1" applyFill="1" applyAlignment="1">
      <alignment horizontal="left"/>
    </xf>
    <xf numFmtId="0" fontId="10" fillId="28" borderId="0" xfId="0" applyFont="1" applyFill="1" applyAlignment="1">
      <alignment horizontal="left"/>
    </xf>
    <xf numFmtId="0" fontId="10" fillId="29" borderId="0" xfId="0" applyFont="1" applyFill="1" applyAlignment="1">
      <alignment horizontal="left"/>
    </xf>
    <xf numFmtId="0" fontId="10" fillId="30" borderId="0" xfId="0" applyFont="1" applyFill="1" applyAlignment="1">
      <alignment horizontal="left"/>
    </xf>
    <xf numFmtId="0" fontId="10" fillId="31" borderId="0" xfId="0" applyFont="1" applyFill="1" applyAlignment="1">
      <alignment horizontal="left"/>
    </xf>
    <xf numFmtId="0" fontId="10" fillId="32" borderId="0" xfId="0" applyFont="1" applyFill="1" applyAlignment="1">
      <alignment horizontal="left"/>
    </xf>
    <xf numFmtId="0" fontId="10" fillId="0" borderId="0" xfId="0" applyFont="1" applyAlignment="1">
      <alignment horizontal="center"/>
    </xf>
    <xf numFmtId="4" fontId="10" fillId="23" borderId="5" xfId="0" applyNumberFormat="1" applyFont="1" applyFill="1" applyBorder="1" applyAlignment="1">
      <alignment horizontal="right"/>
    </xf>
    <xf numFmtId="0" fontId="10" fillId="23" borderId="0" xfId="0" applyFont="1" applyFill="1" applyAlignment="1">
      <alignment horizontal="right"/>
    </xf>
    <xf numFmtId="4" fontId="10" fillId="23" borderId="0" xfId="0" applyNumberFormat="1" applyFont="1" applyFill="1" applyAlignment="1">
      <alignment horizontal="right"/>
    </xf>
    <xf numFmtId="4" fontId="10" fillId="33" borderId="5" xfId="0" applyNumberFormat="1" applyFont="1" applyFill="1" applyBorder="1" applyAlignment="1">
      <alignment horizontal="right"/>
    </xf>
    <xf numFmtId="0" fontId="10" fillId="33" borderId="0" xfId="0" applyFont="1" applyFill="1" applyAlignment="1">
      <alignment horizontal="right"/>
    </xf>
    <xf numFmtId="4" fontId="10" fillId="33" borderId="0" xfId="0" applyNumberFormat="1" applyFont="1" applyFill="1" applyAlignment="1">
      <alignment horizontal="right"/>
    </xf>
    <xf numFmtId="0" fontId="10" fillId="33" borderId="0" xfId="0" applyFont="1" applyFill="1" applyAlignment="1">
      <alignment horizontal="center"/>
    </xf>
    <xf numFmtId="0" fontId="1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4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12" fillId="0" borderId="0" xfId="0" applyFont="1" applyAlignment="1">
      <alignment vertical="top"/>
    </xf>
    <xf numFmtId="0" fontId="13" fillId="0" borderId="1" xfId="0" applyFont="1" applyBorder="1" applyAlignment="1">
      <alignment vertical="top"/>
    </xf>
    <xf numFmtId="0" fontId="13" fillId="34" borderId="0" xfId="0" applyFont="1" applyFill="1" applyBorder="1" applyAlignment="1">
      <alignment vertical="top"/>
    </xf>
    <xf numFmtId="184" fontId="13" fillId="34" borderId="0" xfId="0" applyNumberFormat="1" applyFont="1" applyFill="1" applyBorder="1" applyAlignment="1">
      <alignment vertical="top"/>
    </xf>
    <xf numFmtId="0" fontId="13" fillId="0" borderId="6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8" xfId="0" applyFont="1" applyBorder="1" applyAlignment="1">
      <alignment vertical="top"/>
    </xf>
    <xf numFmtId="0" fontId="13" fillId="0" borderId="9" xfId="0" applyFont="1" applyBorder="1" applyAlignment="1">
      <alignment vertical="top"/>
    </xf>
    <xf numFmtId="0" fontId="12" fillId="0" borderId="10" xfId="0" applyFont="1" applyBorder="1" applyAlignment="1">
      <alignment vertical="top"/>
    </xf>
    <xf numFmtId="0" fontId="12" fillId="0" borderId="0" xfId="0" applyFont="1" applyAlignment="1">
      <alignment horizontal="right" vertical="top"/>
    </xf>
    <xf numFmtId="0" fontId="12" fillId="0" borderId="9" xfId="0" applyFont="1" applyBorder="1" applyAlignment="1">
      <alignment vertical="top"/>
    </xf>
    <xf numFmtId="0" fontId="12" fillId="6" borderId="10" xfId="0" applyFont="1" applyFill="1" applyBorder="1" applyAlignment="1">
      <alignment horizontal="right"/>
    </xf>
    <xf numFmtId="1" fontId="12" fillId="6" borderId="10" xfId="0" applyNumberFormat="1" applyFont="1" applyFill="1" applyBorder="1" applyAlignment="1">
      <alignment horizontal="right"/>
    </xf>
    <xf numFmtId="177" fontId="12" fillId="0" borderId="10" xfId="0" applyNumberFormat="1" applyFont="1" applyBorder="1" applyAlignment="1">
      <alignment vertical="top"/>
    </xf>
    <xf numFmtId="177" fontId="12" fillId="34" borderId="11" xfId="0" applyNumberFormat="1" applyFont="1" applyFill="1" applyBorder="1" applyAlignment="1">
      <alignment vertical="top"/>
    </xf>
    <xf numFmtId="177" fontId="12" fillId="0" borderId="0" xfId="0" applyNumberFormat="1" applyFont="1" applyAlignment="1">
      <alignment horizontal="right" vertical="top"/>
    </xf>
    <xf numFmtId="179" fontId="12" fillId="0" borderId="10" xfId="0" applyNumberFormat="1" applyFont="1" applyBorder="1" applyAlignment="1">
      <alignment vertical="top"/>
    </xf>
    <xf numFmtId="0" fontId="12" fillId="0" borderId="12" xfId="0" applyFont="1" applyBorder="1" applyAlignment="1">
      <alignment vertical="top"/>
    </xf>
    <xf numFmtId="0" fontId="12" fillId="0" borderId="13" xfId="0" applyFont="1" applyBorder="1" applyAlignment="1">
      <alignment vertical="top"/>
    </xf>
    <xf numFmtId="179" fontId="12" fillId="0" borderId="14" xfId="0" applyNumberFormat="1" applyFont="1" applyBorder="1" applyAlignment="1">
      <alignment vertical="top"/>
    </xf>
    <xf numFmtId="0" fontId="12" fillId="0" borderId="0" xfId="0" applyFont="1" applyAlignment="1">
      <alignment vertical="top" wrapText="1"/>
    </xf>
    <xf numFmtId="0" fontId="13" fillId="0" borderId="0" xfId="0" applyFont="1" applyAlignment="1">
      <alignment vertical="top"/>
    </xf>
    <xf numFmtId="179" fontId="12" fillId="0" borderId="0" xfId="0" applyNumberFormat="1" applyFont="1" applyAlignment="1">
      <alignment vertical="top"/>
    </xf>
    <xf numFmtId="0" fontId="5" fillId="35" borderId="6" xfId="0" applyFont="1" applyFill="1" applyBorder="1" applyAlignment="1">
      <alignment vertical="top"/>
    </xf>
    <xf numFmtId="0" fontId="5" fillId="35" borderId="7" xfId="0" applyFont="1" applyFill="1" applyBorder="1" applyAlignment="1">
      <alignment vertical="top"/>
    </xf>
    <xf numFmtId="0" fontId="2" fillId="35" borderId="7" xfId="0" applyFont="1" applyFill="1" applyBorder="1" applyAlignment="1">
      <alignment vertical="top"/>
    </xf>
    <xf numFmtId="0" fontId="2" fillId="35" borderId="8" xfId="0" applyFont="1" applyFill="1" applyBorder="1" applyAlignment="1">
      <alignment vertical="top"/>
    </xf>
    <xf numFmtId="177" fontId="12" fillId="0" borderId="0" xfId="0" applyNumberFormat="1" applyFont="1" applyAlignment="1">
      <alignment vertical="top"/>
    </xf>
    <xf numFmtId="0" fontId="12" fillId="0" borderId="0" xfId="0" applyFont="1" applyAlignment="1">
      <alignment horizontal="left" vertical="top"/>
    </xf>
    <xf numFmtId="0" fontId="2" fillId="5" borderId="9" xfId="0" applyFont="1" applyFill="1" applyBorder="1" applyAlignment="1">
      <alignment vertical="top" wrapText="1"/>
    </xf>
    <xf numFmtId="0" fontId="2" fillId="5" borderId="0" xfId="0" applyFont="1" applyFill="1" applyBorder="1" applyAlignment="1">
      <alignment vertical="top" wrapText="1"/>
    </xf>
    <xf numFmtId="0" fontId="2" fillId="5" borderId="0" xfId="0" applyFont="1" applyFill="1" applyBorder="1" applyAlignment="1">
      <alignment horizontal="right" vertical="top" wrapText="1"/>
    </xf>
    <xf numFmtId="0" fontId="2" fillId="5" borderId="10" xfId="0" applyFont="1" applyFill="1" applyBorder="1" applyAlignment="1">
      <alignment horizontal="right" vertical="top" wrapText="1"/>
    </xf>
    <xf numFmtId="0" fontId="12" fillId="0" borderId="0" xfId="0" applyFont="1" applyAlignment="1">
      <alignment horizontal="left" vertical="top" wrapText="1"/>
    </xf>
    <xf numFmtId="0" fontId="2" fillId="36" borderId="9" xfId="0" applyFont="1" applyFill="1" applyBorder="1" applyAlignment="1">
      <alignment horizontal="left" vertical="top" wrapText="1"/>
    </xf>
    <xf numFmtId="179" fontId="2" fillId="36" borderId="0" xfId="0" applyNumberFormat="1" applyFont="1" applyFill="1" applyBorder="1" applyAlignment="1">
      <alignment horizontal="left" vertical="top" wrapText="1"/>
    </xf>
    <xf numFmtId="0" fontId="2" fillId="36" borderId="0" xfId="0" applyFont="1" applyFill="1" applyBorder="1" applyAlignment="1">
      <alignment horizontal="left" vertical="top" wrapText="1"/>
    </xf>
    <xf numFmtId="177" fontId="2" fillId="0" borderId="0" xfId="0" applyNumberFormat="1" applyFont="1" applyAlignment="1">
      <alignment horizontal="left" vertical="top" wrapText="1"/>
    </xf>
    <xf numFmtId="177" fontId="2" fillId="0" borderId="0" xfId="0" applyNumberFormat="1" applyFont="1" applyAlignment="1">
      <alignment horizontal="left" vertical="top"/>
    </xf>
    <xf numFmtId="177" fontId="2" fillId="0" borderId="10" xfId="0" applyNumberFormat="1" applyFont="1" applyBorder="1" applyAlignment="1">
      <alignment horizontal="left" vertical="top"/>
    </xf>
    <xf numFmtId="177" fontId="12" fillId="0" borderId="0" xfId="0" applyNumberFormat="1" applyFont="1" applyAlignment="1">
      <alignment horizontal="left" vertical="top"/>
    </xf>
    <xf numFmtId="177" fontId="1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/>
    </xf>
    <xf numFmtId="0" fontId="14" fillId="37" borderId="15" xfId="0" applyFont="1" applyFill="1" applyBorder="1" applyAlignment="1">
      <alignment horizontal="left" vertical="top"/>
    </xf>
    <xf numFmtId="179" fontId="14" fillId="37" borderId="16" xfId="0" applyNumberFormat="1" applyFont="1" applyFill="1" applyBorder="1" applyAlignment="1">
      <alignment horizontal="left" vertical="top"/>
    </xf>
    <xf numFmtId="0" fontId="15" fillId="37" borderId="16" xfId="0" applyFont="1" applyFill="1" applyBorder="1" applyAlignment="1">
      <alignment vertical="top"/>
    </xf>
    <xf numFmtId="177" fontId="14" fillId="37" borderId="16" xfId="0" applyNumberFormat="1" applyFont="1" applyFill="1" applyBorder="1" applyAlignment="1">
      <alignment horizontal="left" vertical="top"/>
    </xf>
    <xf numFmtId="177" fontId="14" fillId="37" borderId="17" xfId="0" applyNumberFormat="1" applyFont="1" applyFill="1" applyBorder="1" applyAlignment="1">
      <alignment horizontal="left" vertical="top"/>
    </xf>
    <xf numFmtId="179" fontId="5" fillId="0" borderId="0" xfId="0" applyNumberFormat="1" applyFont="1" applyAlignment="1">
      <alignment horizontal="left" vertical="top"/>
    </xf>
    <xf numFmtId="176" fontId="13" fillId="0" borderId="0" xfId="0" applyNumberFormat="1" applyFont="1" applyAlignment="1">
      <alignment vertical="top"/>
    </xf>
    <xf numFmtId="179" fontId="13" fillId="0" borderId="0" xfId="0" applyNumberFormat="1" applyFont="1" applyAlignment="1">
      <alignment vertical="top"/>
    </xf>
    <xf numFmtId="0" fontId="13" fillId="38" borderId="18" xfId="0" applyFont="1" applyFill="1" applyBorder="1" applyAlignment="1">
      <alignment vertical="top"/>
    </xf>
    <xf numFmtId="0" fontId="12" fillId="38" borderId="7" xfId="0" applyFont="1" applyFill="1" applyBorder="1" applyAlignment="1">
      <alignment vertical="top"/>
    </xf>
    <xf numFmtId="0" fontId="12" fillId="38" borderId="8" xfId="0" applyFont="1" applyFill="1" applyBorder="1" applyAlignment="1">
      <alignment vertical="top"/>
    </xf>
    <xf numFmtId="0" fontId="13" fillId="38" borderId="6" xfId="0" applyFont="1" applyFill="1" applyBorder="1" applyAlignment="1">
      <alignment vertical="top"/>
    </xf>
    <xf numFmtId="0" fontId="13" fillId="0" borderId="19" xfId="0" applyFont="1" applyBorder="1" applyAlignment="1">
      <alignment vertical="top"/>
    </xf>
    <xf numFmtId="0" fontId="12" fillId="0" borderId="19" xfId="0" applyFont="1" applyBorder="1" applyAlignment="1">
      <alignment vertical="top"/>
    </xf>
    <xf numFmtId="185" fontId="12" fillId="2" borderId="20" xfId="0" applyNumberFormat="1" applyFont="1" applyFill="1" applyBorder="1" applyAlignment="1">
      <alignment vertical="top"/>
    </xf>
    <xf numFmtId="0" fontId="12" fillId="0" borderId="21" xfId="0" applyFont="1" applyBorder="1" applyAlignment="1">
      <alignment vertical="top"/>
    </xf>
    <xf numFmtId="0" fontId="12" fillId="0" borderId="22" xfId="0" applyFont="1" applyBorder="1" applyAlignment="1">
      <alignment vertical="top"/>
    </xf>
    <xf numFmtId="185" fontId="12" fillId="0" borderId="10" xfId="0" applyNumberFormat="1" applyFont="1" applyBorder="1" applyAlignment="1">
      <alignment vertical="top"/>
    </xf>
    <xf numFmtId="176" fontId="12" fillId="0" borderId="10" xfId="0" applyNumberFormat="1" applyFont="1" applyBorder="1" applyAlignment="1">
      <alignment vertical="top"/>
    </xf>
    <xf numFmtId="0" fontId="12" fillId="0" borderId="23" xfId="0" applyFont="1" applyBorder="1" applyAlignment="1">
      <alignment vertical="top"/>
    </xf>
    <xf numFmtId="185" fontId="12" fillId="2" borderId="24" xfId="0" applyNumberFormat="1" applyFont="1" applyFill="1" applyBorder="1" applyAlignment="1">
      <alignment vertical="top"/>
    </xf>
    <xf numFmtId="0" fontId="13" fillId="0" borderId="15" xfId="0" applyFont="1" applyBorder="1" applyAlignment="1">
      <alignment vertical="top"/>
    </xf>
    <xf numFmtId="176" fontId="13" fillId="0" borderId="17" xfId="0" applyNumberFormat="1" applyFont="1" applyBorder="1" applyAlignment="1">
      <alignment vertical="top"/>
    </xf>
    <xf numFmtId="0" fontId="12" fillId="36" borderId="0" xfId="0" applyFont="1" applyFill="1" applyBorder="1" applyAlignment="1">
      <alignment vertical="top"/>
    </xf>
    <xf numFmtId="0" fontId="16" fillId="36" borderId="0" xfId="0" applyFont="1" applyFill="1" applyBorder="1" applyAlignment="1">
      <alignment vertical="top"/>
    </xf>
    <xf numFmtId="0" fontId="13" fillId="36" borderId="0" xfId="0" applyFont="1" applyFill="1" applyBorder="1" applyAlignment="1">
      <alignment vertical="top"/>
    </xf>
    <xf numFmtId="176" fontId="13" fillId="36" borderId="0" xfId="0" applyNumberFormat="1" applyFont="1" applyFill="1" applyBorder="1" applyAlignment="1">
      <alignment vertical="top"/>
    </xf>
    <xf numFmtId="0" fontId="2" fillId="36" borderId="0" xfId="0" applyFont="1" applyFill="1" applyBorder="1"/>
    <xf numFmtId="0" fontId="16" fillId="38" borderId="6" xfId="0" applyFont="1" applyFill="1" applyBorder="1" applyAlignment="1">
      <alignment vertical="top"/>
    </xf>
    <xf numFmtId="0" fontId="13" fillId="38" borderId="7" xfId="0" applyFont="1" applyFill="1" applyBorder="1" applyAlignment="1">
      <alignment vertical="top"/>
    </xf>
    <xf numFmtId="176" fontId="13" fillId="38" borderId="7" xfId="0" applyNumberFormat="1" applyFont="1" applyFill="1" applyBorder="1" applyAlignment="1">
      <alignment vertical="top"/>
    </xf>
    <xf numFmtId="176" fontId="13" fillId="38" borderId="8" xfId="0" applyNumberFormat="1" applyFont="1" applyFill="1" applyBorder="1" applyAlignment="1">
      <alignment vertical="top"/>
    </xf>
    <xf numFmtId="0" fontId="12" fillId="39" borderId="25" xfId="0" applyFont="1" applyFill="1" applyBorder="1" applyAlignment="1">
      <alignment vertical="top"/>
    </xf>
    <xf numFmtId="0" fontId="12" fillId="39" borderId="26" xfId="0" applyFont="1" applyFill="1" applyBorder="1" applyAlignment="1">
      <alignment vertical="top"/>
    </xf>
    <xf numFmtId="0" fontId="12" fillId="39" borderId="27" xfId="0" applyFont="1" applyFill="1" applyBorder="1" applyAlignment="1">
      <alignment vertical="top"/>
    </xf>
    <xf numFmtId="0" fontId="17" fillId="0" borderId="0" xfId="0" applyFont="1" applyAlignment="1">
      <alignment vertical="top"/>
    </xf>
    <xf numFmtId="0" fontId="18" fillId="0" borderId="9" xfId="0" applyFont="1" applyBorder="1" applyAlignment="1">
      <alignment vertical="top"/>
    </xf>
    <xf numFmtId="0" fontId="12" fillId="0" borderId="0" xfId="0" applyFont="1" applyAlignment="1">
      <alignment horizontal="center" vertical="top"/>
    </xf>
    <xf numFmtId="3" fontId="12" fillId="0" borderId="0" xfId="0" applyNumberFormat="1" applyFont="1" applyAlignment="1">
      <alignment vertical="top"/>
    </xf>
    <xf numFmtId="3" fontId="19" fillId="0" borderId="0" xfId="0" applyNumberFormat="1" applyFont="1" applyAlignment="1">
      <alignment vertical="top"/>
    </xf>
    <xf numFmtId="3" fontId="12" fillId="0" borderId="10" xfId="0" applyNumberFormat="1" applyFont="1" applyBorder="1" applyAlignment="1">
      <alignment vertical="top"/>
    </xf>
    <xf numFmtId="0" fontId="13" fillId="37" borderId="15" xfId="0" applyFont="1" applyFill="1" applyBorder="1" applyAlignment="1">
      <alignment vertical="top"/>
    </xf>
    <xf numFmtId="0" fontId="13" fillId="37" borderId="16" xfId="0" applyFont="1" applyFill="1" applyBorder="1" applyAlignment="1">
      <alignment vertical="top"/>
    </xf>
    <xf numFmtId="176" fontId="20" fillId="37" borderId="16" xfId="0" applyNumberFormat="1" applyFont="1" applyFill="1" applyBorder="1" applyAlignment="1">
      <alignment vertical="top"/>
    </xf>
    <xf numFmtId="176" fontId="20" fillId="37" borderId="17" xfId="0" applyNumberFormat="1" applyFont="1" applyFill="1" applyBorder="1" applyAlignment="1">
      <alignment vertical="top"/>
    </xf>
    <xf numFmtId="4" fontId="12" fillId="0" borderId="0" xfId="0" applyNumberFormat="1" applyFont="1" applyAlignment="1">
      <alignment vertical="top"/>
    </xf>
    <xf numFmtId="176" fontId="20" fillId="0" borderId="0" xfId="0" applyNumberFormat="1" applyFont="1" applyAlignment="1">
      <alignment vertical="top"/>
    </xf>
    <xf numFmtId="176" fontId="13" fillId="0" borderId="10" xfId="0" applyNumberFormat="1" applyFont="1" applyBorder="1" applyAlignment="1">
      <alignment vertical="top"/>
    </xf>
    <xf numFmtId="0" fontId="19" fillId="0" borderId="0" xfId="0" applyFont="1" applyAlignment="1">
      <alignment vertical="top"/>
    </xf>
    <xf numFmtId="9" fontId="12" fillId="0" borderId="0" xfId="0" applyNumberFormat="1" applyFont="1" applyAlignment="1">
      <alignment vertical="top"/>
    </xf>
    <xf numFmtId="176" fontId="19" fillId="0" borderId="0" xfId="0" applyNumberFormat="1" applyFont="1" applyAlignment="1">
      <alignment vertical="top"/>
    </xf>
    <xf numFmtId="0" fontId="12" fillId="3" borderId="9" xfId="0" applyFont="1" applyFill="1" applyBorder="1" applyAlignment="1">
      <alignment vertical="top"/>
    </xf>
    <xf numFmtId="3" fontId="12" fillId="3" borderId="10" xfId="0" applyNumberFormat="1" applyFont="1" applyFill="1" applyBorder="1" applyAlignment="1">
      <alignment vertical="top"/>
    </xf>
    <xf numFmtId="0" fontId="12" fillId="6" borderId="9" xfId="0" applyFont="1" applyFill="1" applyBorder="1" applyAlignment="1">
      <alignment vertical="top"/>
    </xf>
    <xf numFmtId="0" fontId="12" fillId="0" borderId="9" xfId="0" applyFont="1" applyBorder="1" applyAlignment="1">
      <alignment horizontal="left" vertical="top"/>
    </xf>
    <xf numFmtId="4" fontId="12" fillId="6" borderId="0" xfId="0" applyNumberFormat="1" applyFont="1" applyFill="1" applyBorder="1" applyAlignment="1">
      <alignment horizontal="right" vertical="top"/>
    </xf>
    <xf numFmtId="0" fontId="12" fillId="3" borderId="9" xfId="0" applyFont="1" applyFill="1" applyBorder="1" applyAlignment="1">
      <alignment horizontal="left" vertical="top"/>
    </xf>
    <xf numFmtId="186" fontId="12" fillId="0" borderId="0" xfId="0" applyNumberFormat="1" applyFont="1" applyAlignment="1">
      <alignment vertical="top"/>
    </xf>
    <xf numFmtId="187" fontId="12" fillId="0" borderId="0" xfId="0" applyNumberFormat="1" applyFont="1" applyAlignment="1">
      <alignment vertical="top"/>
    </xf>
    <xf numFmtId="0" fontId="13" fillId="37" borderId="28" xfId="0" applyFont="1" applyFill="1" applyBorder="1" applyAlignment="1">
      <alignment vertical="top"/>
    </xf>
    <xf numFmtId="0" fontId="13" fillId="37" borderId="29" xfId="0" applyFont="1" applyFill="1" applyBorder="1" applyAlignment="1">
      <alignment vertical="top"/>
    </xf>
    <xf numFmtId="176" fontId="20" fillId="37" borderId="30" xfId="0" applyNumberFormat="1" applyFont="1" applyFill="1" applyBorder="1" applyAlignment="1">
      <alignment vertical="top"/>
    </xf>
    <xf numFmtId="0" fontId="21" fillId="0" borderId="9" xfId="0" applyFont="1" applyBorder="1" applyAlignment="1">
      <alignment vertical="top"/>
    </xf>
    <xf numFmtId="9" fontId="22" fillId="0" borderId="0" xfId="0" applyNumberFormat="1" applyFont="1" applyAlignment="1">
      <alignment vertical="top"/>
    </xf>
    <xf numFmtId="9" fontId="21" fillId="0" borderId="0" xfId="0" applyNumberFormat="1" applyFont="1" applyAlignment="1">
      <alignment vertical="top"/>
    </xf>
    <xf numFmtId="9" fontId="21" fillId="0" borderId="10" xfId="0" applyNumberFormat="1" applyFont="1" applyBorder="1" applyAlignment="1">
      <alignment vertical="top"/>
    </xf>
    <xf numFmtId="176" fontId="12" fillId="0" borderId="0" xfId="0" applyNumberFormat="1" applyFont="1" applyAlignment="1">
      <alignment vertical="top"/>
    </xf>
    <xf numFmtId="0" fontId="20" fillId="37" borderId="28" xfId="0" applyFont="1" applyFill="1" applyBorder="1" applyAlignment="1">
      <alignment vertical="top"/>
    </xf>
    <xf numFmtId="0" fontId="20" fillId="37" borderId="29" xfId="0" applyFont="1" applyFill="1" applyBorder="1" applyAlignment="1">
      <alignment vertical="top"/>
    </xf>
    <xf numFmtId="176" fontId="20" fillId="37" borderId="29" xfId="0" applyNumberFormat="1" applyFont="1" applyFill="1" applyBorder="1" applyAlignment="1">
      <alignment vertical="top"/>
    </xf>
    <xf numFmtId="0" fontId="12" fillId="0" borderId="31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176" fontId="19" fillId="0" borderId="5" xfId="0" applyNumberFormat="1" applyFont="1" applyBorder="1" applyAlignment="1">
      <alignment vertical="top"/>
    </xf>
    <xf numFmtId="176" fontId="12" fillId="0" borderId="5" xfId="0" applyNumberFormat="1" applyFont="1" applyBorder="1" applyAlignment="1">
      <alignment vertical="top"/>
    </xf>
    <xf numFmtId="176" fontId="12" fillId="0" borderId="32" xfId="0" applyNumberFormat="1" applyFont="1" applyBorder="1" applyAlignment="1">
      <alignment vertical="top"/>
    </xf>
    <xf numFmtId="0" fontId="5" fillId="40" borderId="9" xfId="0" applyFont="1" applyFill="1" applyBorder="1" applyAlignment="1">
      <alignment vertical="top"/>
    </xf>
    <xf numFmtId="0" fontId="12" fillId="40" borderId="0" xfId="0" applyFont="1" applyFill="1" applyBorder="1" applyAlignment="1">
      <alignment vertical="top"/>
    </xf>
    <xf numFmtId="176" fontId="19" fillId="40" borderId="0" xfId="0" applyNumberFormat="1" applyFont="1" applyFill="1" applyBorder="1" applyAlignment="1">
      <alignment vertical="top"/>
    </xf>
    <xf numFmtId="176" fontId="19" fillId="40" borderId="10" xfId="0" applyNumberFormat="1" applyFont="1" applyFill="1" applyBorder="1" applyAlignment="1">
      <alignment vertical="top"/>
    </xf>
    <xf numFmtId="0" fontId="5" fillId="40" borderId="21" xfId="0" applyFont="1" applyFill="1" applyBorder="1" applyAlignment="1">
      <alignment vertical="top"/>
    </xf>
    <xf numFmtId="0" fontId="12" fillId="40" borderId="4" xfId="0" applyFont="1" applyFill="1" applyBorder="1" applyAlignment="1">
      <alignment vertical="top"/>
    </xf>
    <xf numFmtId="176" fontId="19" fillId="40" borderId="4" xfId="0" applyNumberFormat="1" applyFont="1" applyFill="1" applyBorder="1" applyAlignment="1">
      <alignment vertical="top"/>
    </xf>
    <xf numFmtId="176" fontId="19" fillId="40" borderId="22" xfId="0" applyNumberFormat="1" applyFont="1" applyFill="1" applyBorder="1" applyAlignment="1">
      <alignment vertical="top"/>
    </xf>
    <xf numFmtId="0" fontId="12" fillId="0" borderId="9" xfId="0" applyFont="1" applyBorder="1" applyAlignment="1">
      <alignment vertical="center"/>
    </xf>
    <xf numFmtId="0" fontId="14" fillId="40" borderId="28" xfId="0" applyFont="1" applyFill="1" applyBorder="1" applyAlignment="1">
      <alignment vertical="top"/>
    </xf>
    <xf numFmtId="0" fontId="20" fillId="40" borderId="29" xfId="0" applyFont="1" applyFill="1" applyBorder="1" applyAlignment="1">
      <alignment vertical="top"/>
    </xf>
    <xf numFmtId="176" fontId="20" fillId="40" borderId="29" xfId="0" applyNumberFormat="1" applyFont="1" applyFill="1" applyBorder="1" applyAlignment="1">
      <alignment vertical="top"/>
    </xf>
    <xf numFmtId="176" fontId="20" fillId="40" borderId="30" xfId="0" applyNumberFormat="1" applyFont="1" applyFill="1" applyBorder="1" applyAlignment="1">
      <alignment vertical="top"/>
    </xf>
    <xf numFmtId="176" fontId="23" fillId="0" borderId="0" xfId="0" applyNumberFormat="1" applyFont="1" applyAlignment="1">
      <alignment vertical="top"/>
    </xf>
    <xf numFmtId="0" fontId="2" fillId="0" borderId="12" xfId="0" applyFont="1" applyBorder="1" applyAlignment="1">
      <alignment vertical="top"/>
    </xf>
    <xf numFmtId="0" fontId="13" fillId="0" borderId="13" xfId="0" applyFont="1" applyBorder="1" applyAlignment="1">
      <alignment vertical="top"/>
    </xf>
    <xf numFmtId="176" fontId="23" fillId="0" borderId="13" xfId="0" applyNumberFormat="1" applyFont="1" applyBorder="1" applyAlignment="1">
      <alignment vertical="top"/>
    </xf>
    <xf numFmtId="179" fontId="13" fillId="0" borderId="13" xfId="0" applyNumberFormat="1" applyFont="1" applyBorder="1" applyAlignment="1">
      <alignment vertical="top"/>
    </xf>
    <xf numFmtId="179" fontId="13" fillId="0" borderId="14" xfId="0" applyNumberFormat="1" applyFont="1" applyBorder="1" applyAlignment="1">
      <alignment vertical="top"/>
    </xf>
    <xf numFmtId="0" fontId="24" fillId="0" borderId="0" xfId="0" applyFont="1" applyAlignment="1">
      <alignment vertical="top"/>
    </xf>
    <xf numFmtId="0" fontId="13" fillId="40" borderId="12" xfId="0" applyFont="1" applyFill="1" applyBorder="1" applyAlignment="1">
      <alignment vertical="top"/>
    </xf>
    <xf numFmtId="0" fontId="13" fillId="40" borderId="13" xfId="0" applyFont="1" applyFill="1" applyBorder="1" applyAlignment="1">
      <alignment vertical="top"/>
    </xf>
    <xf numFmtId="179" fontId="13" fillId="40" borderId="13" xfId="0" applyNumberFormat="1" applyFont="1" applyFill="1" applyBorder="1" applyAlignment="1">
      <alignment vertical="top"/>
    </xf>
    <xf numFmtId="179" fontId="13" fillId="40" borderId="14" xfId="0" applyNumberFormat="1" applyFont="1" applyFill="1" applyBorder="1" applyAlignment="1">
      <alignment vertical="top"/>
    </xf>
    <xf numFmtId="0" fontId="25" fillId="0" borderId="0" xfId="0" applyFont="1"/>
    <xf numFmtId="0" fontId="18" fillId="38" borderId="6" xfId="0" applyFont="1" applyFill="1" applyBorder="1" applyAlignment="1">
      <alignment vertical="top"/>
    </xf>
    <xf numFmtId="1" fontId="12" fillId="38" borderId="7" xfId="0" applyNumberFormat="1" applyFont="1" applyFill="1" applyBorder="1" applyAlignment="1">
      <alignment vertical="top"/>
    </xf>
    <xf numFmtId="0" fontId="12" fillId="38" borderId="33" xfId="0" applyFont="1" applyFill="1" applyBorder="1" applyAlignment="1">
      <alignment vertical="top"/>
    </xf>
    <xf numFmtId="0" fontId="18" fillId="41" borderId="6" xfId="0" applyFont="1" applyFill="1" applyBorder="1" applyAlignment="1">
      <alignment vertical="top"/>
    </xf>
    <xf numFmtId="0" fontId="12" fillId="41" borderId="7" xfId="0" applyFont="1" applyFill="1" applyBorder="1" applyAlignment="1">
      <alignment vertical="top"/>
    </xf>
    <xf numFmtId="0" fontId="12" fillId="41" borderId="8" xfId="0" applyFont="1" applyFill="1" applyBorder="1" applyAlignment="1">
      <alignment vertical="top"/>
    </xf>
    <xf numFmtId="0" fontId="26" fillId="40" borderId="6" xfId="0" applyFont="1" applyFill="1" applyBorder="1" applyAlignment="1">
      <alignment vertical="top"/>
    </xf>
    <xf numFmtId="0" fontId="27" fillId="40" borderId="7" xfId="0" applyFont="1" applyFill="1" applyBorder="1" applyAlignment="1">
      <alignment vertical="top"/>
    </xf>
    <xf numFmtId="0" fontId="27" fillId="40" borderId="8" xfId="0" applyFont="1" applyFill="1" applyBorder="1" applyAlignment="1">
      <alignment vertical="top"/>
    </xf>
    <xf numFmtId="1" fontId="12" fillId="0" borderId="0" xfId="0" applyNumberFormat="1" applyFont="1" applyAlignment="1">
      <alignment vertical="top"/>
    </xf>
    <xf numFmtId="187" fontId="12" fillId="0" borderId="34" xfId="0" applyNumberFormat="1" applyFont="1" applyBorder="1" applyAlignment="1">
      <alignment vertical="top"/>
    </xf>
    <xf numFmtId="0" fontId="27" fillId="0" borderId="9" xfId="0" applyFont="1" applyBorder="1" applyAlignment="1">
      <alignment vertical="top"/>
    </xf>
    <xf numFmtId="0" fontId="27" fillId="0" borderId="0" xfId="0" applyFont="1" applyAlignment="1">
      <alignment vertical="top"/>
    </xf>
    <xf numFmtId="0" fontId="27" fillId="0" borderId="10" xfId="0" applyFont="1" applyBorder="1" applyAlignment="1">
      <alignment vertical="top"/>
    </xf>
    <xf numFmtId="1" fontId="12" fillId="0" borderId="0" xfId="0" applyNumberFormat="1" applyFont="1" applyAlignment="1">
      <alignment horizontal="right" vertical="center"/>
    </xf>
    <xf numFmtId="188" fontId="12" fillId="0" borderId="10" xfId="0" applyNumberFormat="1" applyFont="1" applyBorder="1" applyAlignment="1">
      <alignment vertical="top"/>
    </xf>
    <xf numFmtId="0" fontId="12" fillId="2" borderId="20" xfId="0" applyFont="1" applyFill="1" applyBorder="1" applyAlignment="1">
      <alignment vertical="top"/>
    </xf>
    <xf numFmtId="0" fontId="27" fillId="2" borderId="20" xfId="0" applyFont="1" applyFill="1" applyBorder="1" applyAlignment="1">
      <alignment vertical="top"/>
    </xf>
    <xf numFmtId="187" fontId="12" fillId="42" borderId="34" xfId="0" applyNumberFormat="1" applyFont="1" applyFill="1" applyBorder="1" applyAlignment="1">
      <alignment vertical="top"/>
    </xf>
    <xf numFmtId="180" fontId="12" fillId="2" borderId="20" xfId="0" applyNumberFormat="1" applyFont="1" applyFill="1" applyBorder="1" applyAlignment="1">
      <alignment vertical="top"/>
    </xf>
    <xf numFmtId="187" fontId="12" fillId="2" borderId="34" xfId="0" applyNumberFormat="1" applyFont="1" applyFill="1" applyBorder="1" applyAlignment="1">
      <alignment vertical="top"/>
    </xf>
    <xf numFmtId="188" fontId="27" fillId="0" borderId="10" xfId="0" applyNumberFormat="1" applyFont="1" applyBorder="1" applyAlignment="1">
      <alignment vertical="top"/>
    </xf>
    <xf numFmtId="185" fontId="13" fillId="0" borderId="10" xfId="0" applyNumberFormat="1" applyFont="1" applyBorder="1" applyAlignment="1">
      <alignment vertical="top"/>
    </xf>
    <xf numFmtId="10" fontId="27" fillId="2" borderId="20" xfId="0" applyNumberFormat="1" applyFont="1" applyFill="1" applyBorder="1" applyAlignment="1">
      <alignment vertical="top"/>
    </xf>
    <xf numFmtId="10" fontId="12" fillId="0" borderId="10" xfId="0" applyNumberFormat="1" applyFont="1" applyBorder="1" applyAlignment="1">
      <alignment vertical="top"/>
    </xf>
    <xf numFmtId="0" fontId="28" fillId="35" borderId="9" xfId="0" applyFont="1" applyFill="1" applyBorder="1" applyAlignment="1">
      <alignment vertical="top"/>
    </xf>
    <xf numFmtId="0" fontId="28" fillId="35" borderId="0" xfId="0" applyFont="1" applyFill="1" applyBorder="1" applyAlignment="1">
      <alignment vertical="top"/>
    </xf>
    <xf numFmtId="188" fontId="28" fillId="35" borderId="10" xfId="0" applyNumberFormat="1" applyFont="1" applyFill="1" applyBorder="1" applyAlignment="1">
      <alignment vertical="top"/>
    </xf>
    <xf numFmtId="185" fontId="12" fillId="2" borderId="3" xfId="0" applyNumberFormat="1" applyFont="1" applyFill="1" applyBorder="1" applyAlignment="1">
      <alignment vertical="top"/>
    </xf>
    <xf numFmtId="185" fontId="27" fillId="2" borderId="3" xfId="0" applyNumberFormat="1" applyFont="1" applyFill="1" applyBorder="1" applyAlignment="1">
      <alignment vertical="top"/>
    </xf>
    <xf numFmtId="188" fontId="2" fillId="0" borderId="0" xfId="0" applyNumberFormat="1" applyFont="1"/>
    <xf numFmtId="0" fontId="27" fillId="35" borderId="9" xfId="0" applyFont="1" applyFill="1" applyBorder="1" applyAlignment="1">
      <alignment vertical="top"/>
    </xf>
    <xf numFmtId="0" fontId="27" fillId="35" borderId="0" xfId="0" applyFont="1" applyFill="1" applyBorder="1" applyAlignment="1">
      <alignment vertical="top"/>
    </xf>
    <xf numFmtId="188" fontId="27" fillId="35" borderId="10" xfId="0" applyNumberFormat="1" applyFont="1" applyFill="1" applyBorder="1" applyAlignment="1">
      <alignment vertical="top"/>
    </xf>
    <xf numFmtId="188" fontId="12" fillId="0" borderId="14" xfId="0" applyNumberFormat="1" applyFont="1" applyBorder="1" applyAlignment="1">
      <alignment vertical="top"/>
    </xf>
    <xf numFmtId="10" fontId="27" fillId="2" borderId="3" xfId="0" applyNumberFormat="1" applyFont="1" applyFill="1" applyBorder="1" applyAlignment="1">
      <alignment vertical="top"/>
    </xf>
    <xf numFmtId="0" fontId="29" fillId="0" borderId="31" xfId="0" applyFont="1" applyBorder="1" applyAlignment="1">
      <alignment vertical="top"/>
    </xf>
    <xf numFmtId="0" fontId="29" fillId="0" borderId="5" xfId="0" applyFont="1" applyBorder="1" applyAlignment="1">
      <alignment vertical="top"/>
    </xf>
    <xf numFmtId="188" fontId="29" fillId="0" borderId="32" xfId="0" applyNumberFormat="1" applyFont="1" applyBorder="1" applyAlignment="1">
      <alignment vertical="top"/>
    </xf>
    <xf numFmtId="0" fontId="28" fillId="35" borderId="31" xfId="0" applyFont="1" applyFill="1" applyBorder="1" applyAlignment="1">
      <alignment vertical="top"/>
    </xf>
    <xf numFmtId="0" fontId="28" fillId="35" borderId="5" xfId="0" applyFont="1" applyFill="1" applyBorder="1" applyAlignment="1">
      <alignment vertical="top"/>
    </xf>
    <xf numFmtId="188" fontId="28" fillId="35" borderId="32" xfId="0" applyNumberFormat="1" applyFont="1" applyFill="1" applyBorder="1" applyAlignment="1">
      <alignment vertical="top"/>
    </xf>
    <xf numFmtId="0" fontId="27" fillId="35" borderId="21" xfId="0" applyFont="1" applyFill="1" applyBorder="1" applyAlignment="1">
      <alignment vertical="top"/>
    </xf>
    <xf numFmtId="0" fontId="27" fillId="35" borderId="4" xfId="0" applyFont="1" applyFill="1" applyBorder="1" applyAlignment="1">
      <alignment vertical="top"/>
    </xf>
    <xf numFmtId="176" fontId="27" fillId="35" borderId="22" xfId="0" applyNumberFormat="1" applyFont="1" applyFill="1" applyBorder="1" applyAlignment="1">
      <alignment vertical="top"/>
    </xf>
    <xf numFmtId="187" fontId="12" fillId="38" borderId="8" xfId="0" applyNumberFormat="1" applyFont="1" applyFill="1" applyBorder="1" applyAlignment="1">
      <alignment vertical="top"/>
    </xf>
    <xf numFmtId="189" fontId="12" fillId="0" borderId="0" xfId="0" applyNumberFormat="1" applyFont="1" applyAlignment="1">
      <alignment vertical="top"/>
    </xf>
    <xf numFmtId="0" fontId="12" fillId="0" borderId="4" xfId="0" applyFont="1" applyBorder="1" applyAlignment="1">
      <alignment vertical="top"/>
    </xf>
    <xf numFmtId="188" fontId="12" fillId="0" borderId="22" xfId="0" applyNumberFormat="1" applyFont="1" applyBorder="1" applyAlignment="1">
      <alignment vertical="top"/>
    </xf>
    <xf numFmtId="10" fontId="12" fillId="0" borderId="0" xfId="0" applyNumberFormat="1" applyFont="1" applyAlignment="1">
      <alignment horizontal="left" vertical="top"/>
    </xf>
    <xf numFmtId="0" fontId="28" fillId="0" borderId="12" xfId="0" applyFont="1" applyBorder="1" applyAlignment="1">
      <alignment vertical="top"/>
    </xf>
    <xf numFmtId="9" fontId="28" fillId="2" borderId="35" xfId="0" applyNumberFormat="1" applyFont="1" applyFill="1" applyBorder="1" applyAlignment="1">
      <alignment vertical="top"/>
    </xf>
    <xf numFmtId="0" fontId="28" fillId="0" borderId="13" xfId="0" applyFont="1" applyBorder="1" applyAlignment="1">
      <alignment vertical="top"/>
    </xf>
    <xf numFmtId="176" fontId="28" fillId="0" borderId="14" xfId="0" applyNumberFormat="1" applyFont="1" applyBorder="1" applyAlignment="1">
      <alignment vertical="top"/>
    </xf>
    <xf numFmtId="0" fontId="12" fillId="3" borderId="0" xfId="0" applyFont="1" applyFill="1" applyBorder="1" applyAlignment="1">
      <alignment vertical="top"/>
    </xf>
    <xf numFmtId="188" fontId="12" fillId="3" borderId="10" xfId="0" applyNumberFormat="1" applyFont="1" applyFill="1" applyBorder="1" applyAlignment="1">
      <alignment vertical="top"/>
    </xf>
    <xf numFmtId="9" fontId="12" fillId="2" borderId="36" xfId="0" applyNumberFormat="1" applyFont="1" applyFill="1" applyBorder="1" applyAlignment="1">
      <alignment vertical="top"/>
    </xf>
    <xf numFmtId="176" fontId="12" fillId="0" borderId="14" xfId="0" applyNumberFormat="1" applyFont="1" applyBorder="1" applyAlignment="1">
      <alignment vertical="top"/>
    </xf>
    <xf numFmtId="1" fontId="12" fillId="0" borderId="0" xfId="0" applyNumberFormat="1" applyFont="1"/>
    <xf numFmtId="9" fontId="12" fillId="2" borderId="3" xfId="0" applyNumberFormat="1" applyFont="1" applyFill="1" applyBorder="1" applyAlignment="1">
      <alignment vertical="top"/>
    </xf>
    <xf numFmtId="188" fontId="12" fillId="0" borderId="0" xfId="0" applyNumberFormat="1" applyFont="1" applyAlignment="1">
      <alignment vertical="top"/>
    </xf>
    <xf numFmtId="9" fontId="12" fillId="2" borderId="35" xfId="0" applyNumberFormat="1" applyFont="1" applyFill="1" applyBorder="1" applyAlignment="1">
      <alignment vertical="top"/>
    </xf>
    <xf numFmtId="187" fontId="12" fillId="0" borderId="22" xfId="0" applyNumberFormat="1" applyFont="1" applyBorder="1" applyAlignment="1">
      <alignment vertical="top"/>
    </xf>
    <xf numFmtId="185" fontId="12" fillId="2" borderId="0" xfId="0" applyNumberFormat="1" applyFont="1" applyFill="1" applyBorder="1"/>
    <xf numFmtId="0" fontId="12" fillId="0" borderId="12" xfId="0" applyFont="1" applyBorder="1"/>
    <xf numFmtId="0" fontId="12" fillId="0" borderId="13" xfId="0" applyFont="1" applyBorder="1"/>
    <xf numFmtId="188" fontId="12" fillId="0" borderId="14" xfId="0" applyNumberFormat="1" applyFont="1" applyBorder="1"/>
    <xf numFmtId="0" fontId="26" fillId="40" borderId="37" xfId="0" applyFont="1" applyFill="1" applyBorder="1" applyAlignment="1">
      <alignment vertical="top"/>
    </xf>
    <xf numFmtId="0" fontId="27" fillId="40" borderId="38" xfId="0" applyFont="1" applyFill="1" applyBorder="1" applyAlignment="1">
      <alignment vertical="top"/>
    </xf>
    <xf numFmtId="0" fontId="27" fillId="40" borderId="39" xfId="0" applyFont="1" applyFill="1" applyBorder="1" applyAlignment="1">
      <alignment vertical="top"/>
    </xf>
    <xf numFmtId="0" fontId="18" fillId="41" borderId="40" xfId="0" applyFont="1" applyFill="1" applyBorder="1" applyAlignment="1">
      <alignment vertical="top"/>
    </xf>
    <xf numFmtId="0" fontId="12" fillId="41" borderId="5" xfId="0" applyFont="1" applyFill="1" applyBorder="1" applyAlignment="1">
      <alignment vertical="top"/>
    </xf>
    <xf numFmtId="0" fontId="12" fillId="41" borderId="41" xfId="0" applyFont="1" applyFill="1" applyBorder="1" applyAlignment="1">
      <alignment vertical="top"/>
    </xf>
    <xf numFmtId="176" fontId="12" fillId="0" borderId="0" xfId="0" applyNumberFormat="1" applyFont="1"/>
    <xf numFmtId="0" fontId="2" fillId="0" borderId="42" xfId="0" applyFont="1" applyBorder="1" applyAlignment="1">
      <alignment vertical="top"/>
    </xf>
    <xf numFmtId="9" fontId="12" fillId="0" borderId="0" xfId="0" applyNumberFormat="1" applyFont="1" applyAlignment="1">
      <alignment horizontal="right" vertical="top"/>
    </xf>
    <xf numFmtId="177" fontId="12" fillId="0" borderId="43" xfId="0" applyNumberFormat="1" applyFont="1" applyBorder="1" applyAlignment="1">
      <alignment vertical="top"/>
    </xf>
    <xf numFmtId="188" fontId="12" fillId="0" borderId="0" xfId="0" applyNumberFormat="1" applyFont="1" applyAlignment="1">
      <alignment horizontal="right" vertical="top"/>
    </xf>
    <xf numFmtId="180" fontId="27" fillId="2" borderId="20" xfId="0" applyNumberFormat="1" applyFont="1" applyFill="1" applyBorder="1" applyAlignment="1">
      <alignment vertical="top"/>
    </xf>
    <xf numFmtId="9" fontId="12" fillId="0" borderId="0" xfId="0" applyNumberFormat="1" applyFont="1" applyAlignment="1">
      <alignment horizontal="right"/>
    </xf>
    <xf numFmtId="177" fontId="12" fillId="0" borderId="44" xfId="0" applyNumberFormat="1" applyFont="1" applyBorder="1" applyAlignment="1">
      <alignment horizontal="right"/>
    </xf>
    <xf numFmtId="0" fontId="2" fillId="36" borderId="42" xfId="0" applyFont="1" applyFill="1" applyBorder="1" applyAlignment="1">
      <alignment vertical="top"/>
    </xf>
    <xf numFmtId="9" fontId="12" fillId="2" borderId="0" xfId="0" applyNumberFormat="1" applyFont="1" applyFill="1" applyBorder="1" applyAlignment="1">
      <alignment horizontal="right"/>
    </xf>
    <xf numFmtId="190" fontId="12" fillId="0" borderId="0" xfId="0" applyNumberFormat="1" applyFont="1" applyAlignment="1">
      <alignment vertical="top"/>
    </xf>
    <xf numFmtId="0" fontId="2" fillId="0" borderId="42" xfId="0" applyFont="1" applyBorder="1"/>
    <xf numFmtId="0" fontId="2" fillId="0" borderId="44" xfId="0" applyFont="1" applyBorder="1"/>
    <xf numFmtId="186" fontId="12" fillId="2" borderId="0" xfId="0" applyNumberFormat="1" applyFont="1" applyFill="1" applyBorder="1" applyAlignment="1">
      <alignment vertical="top"/>
    </xf>
    <xf numFmtId="191" fontId="12" fillId="0" borderId="0" xfId="0" applyNumberFormat="1" applyFont="1" applyAlignment="1">
      <alignment vertical="top"/>
    </xf>
    <xf numFmtId="0" fontId="12" fillId="0" borderId="45" xfId="0" applyFont="1" applyBorder="1" applyAlignment="1">
      <alignment vertical="top"/>
    </xf>
    <xf numFmtId="9" fontId="12" fillId="0" borderId="4" xfId="0" applyNumberFormat="1" applyFont="1" applyBorder="1" applyAlignment="1">
      <alignment vertical="top"/>
    </xf>
    <xf numFmtId="177" fontId="12" fillId="0" borderId="46" xfId="0" applyNumberFormat="1" applyFont="1" applyBorder="1" applyAlignment="1">
      <alignment vertical="top"/>
    </xf>
    <xf numFmtId="188" fontId="27" fillId="42" borderId="10" xfId="0" applyNumberFormat="1" applyFont="1" applyFill="1" applyBorder="1" applyAlignment="1">
      <alignment vertical="top"/>
    </xf>
    <xf numFmtId="190" fontId="2" fillId="0" borderId="0" xfId="0" applyNumberFormat="1" applyFont="1"/>
    <xf numFmtId="0" fontId="13" fillId="0" borderId="12" xfId="0" applyFont="1" applyBorder="1" applyAlignment="1">
      <alignment vertical="top"/>
    </xf>
    <xf numFmtId="10" fontId="13" fillId="0" borderId="13" xfId="0" applyNumberFormat="1" applyFont="1" applyBorder="1"/>
    <xf numFmtId="187" fontId="12" fillId="0" borderId="47" xfId="0" applyNumberFormat="1" applyFont="1" applyBorder="1" applyAlignment="1">
      <alignment vertical="top"/>
    </xf>
    <xf numFmtId="179" fontId="13" fillId="0" borderId="0" xfId="0" applyNumberFormat="1" applyFont="1"/>
    <xf numFmtId="0" fontId="30" fillId="0" borderId="31" xfId="0" applyFont="1" applyBorder="1" applyAlignment="1">
      <alignment vertical="top"/>
    </xf>
    <xf numFmtId="0" fontId="30" fillId="0" borderId="5" xfId="0" applyFont="1" applyBorder="1" applyAlignment="1">
      <alignment vertical="top"/>
    </xf>
    <xf numFmtId="188" fontId="30" fillId="0" borderId="32" xfId="0" applyNumberFormat="1" applyFont="1" applyBorder="1" applyAlignment="1">
      <alignment vertical="top"/>
    </xf>
    <xf numFmtId="0" fontId="27" fillId="0" borderId="21" xfId="0" applyFont="1" applyBorder="1"/>
    <xf numFmtId="0" fontId="27" fillId="0" borderId="4" xfId="0" applyFont="1" applyBorder="1"/>
    <xf numFmtId="188" fontId="27" fillId="2" borderId="22" xfId="0" applyNumberFormat="1" applyFont="1" applyFill="1" applyBorder="1"/>
    <xf numFmtId="0" fontId="13" fillId="35" borderId="6" xfId="0" applyFont="1" applyFill="1" applyBorder="1" applyAlignment="1">
      <alignment vertical="top"/>
    </xf>
    <xf numFmtId="0" fontId="30" fillId="37" borderId="12" xfId="0" applyFont="1" applyFill="1" applyBorder="1"/>
    <xf numFmtId="0" fontId="30" fillId="37" borderId="13" xfId="0" applyFont="1" applyFill="1" applyBorder="1"/>
    <xf numFmtId="188" fontId="30" fillId="37" borderId="14" xfId="0" applyNumberFormat="1" applyFont="1" applyFill="1" applyBorder="1"/>
    <xf numFmtId="0" fontId="31" fillId="43" borderId="6" xfId="0" applyFont="1" applyFill="1" applyBorder="1" applyAlignment="1">
      <alignment vertical="top"/>
    </xf>
    <xf numFmtId="0" fontId="32" fillId="43" borderId="7" xfId="0" applyFont="1" applyFill="1" applyBorder="1" applyAlignment="1">
      <alignment vertical="top"/>
    </xf>
    <xf numFmtId="0" fontId="33" fillId="43" borderId="9" xfId="0" applyFont="1" applyFill="1" applyBorder="1" applyAlignment="1">
      <alignment vertical="top"/>
    </xf>
    <xf numFmtId="0" fontId="33" fillId="43" borderId="0" xfId="0" applyFont="1" applyFill="1" applyBorder="1" applyAlignment="1">
      <alignment vertical="top"/>
    </xf>
    <xf numFmtId="0" fontId="32" fillId="43" borderId="6" xfId="0" applyFont="1" applyFill="1" applyBorder="1" applyAlignment="1">
      <alignment vertical="top"/>
    </xf>
    <xf numFmtId="179" fontId="31" fillId="43" borderId="7" xfId="0" applyNumberFormat="1" applyFont="1" applyFill="1" applyBorder="1" applyAlignment="1">
      <alignment horizontal="right" vertical="top"/>
    </xf>
    <xf numFmtId="0" fontId="18" fillId="40" borderId="6" xfId="0" applyFont="1" applyFill="1" applyBorder="1" applyAlignment="1">
      <alignment vertical="top"/>
    </xf>
    <xf numFmtId="0" fontId="12" fillId="40" borderId="7" xfId="0" applyFont="1" applyFill="1" applyBorder="1" applyAlignment="1">
      <alignment vertical="top"/>
    </xf>
    <xf numFmtId="0" fontId="12" fillId="40" borderId="8" xfId="0" applyFont="1" applyFill="1" applyBorder="1" applyAlignment="1">
      <alignment vertical="top"/>
    </xf>
    <xf numFmtId="187" fontId="2" fillId="0" borderId="0" xfId="0" applyNumberFormat="1" applyFont="1"/>
    <xf numFmtId="0" fontId="32" fillId="39" borderId="9" xfId="0" applyFont="1" applyFill="1" applyBorder="1" applyAlignment="1">
      <alignment vertical="top"/>
    </xf>
    <xf numFmtId="0" fontId="32" fillId="39" borderId="0" xfId="0" applyFont="1" applyFill="1" applyBorder="1" applyAlignment="1">
      <alignment vertical="top"/>
    </xf>
    <xf numFmtId="0" fontId="34" fillId="39" borderId="0" xfId="0" applyFont="1" applyFill="1" applyBorder="1" applyAlignment="1">
      <alignment horizontal="right" vertical="top"/>
    </xf>
    <xf numFmtId="0" fontId="32" fillId="0" borderId="9" xfId="0" applyFont="1" applyBorder="1" applyAlignment="1">
      <alignment vertical="top"/>
    </xf>
    <xf numFmtId="0" fontId="32" fillId="0" borderId="0" xfId="0" applyFont="1" applyAlignment="1">
      <alignment vertical="top"/>
    </xf>
    <xf numFmtId="188" fontId="32" fillId="0" borderId="0" xfId="0" applyNumberFormat="1" applyFont="1" applyAlignment="1">
      <alignment vertical="top"/>
    </xf>
    <xf numFmtId="177" fontId="12" fillId="2" borderId="48" xfId="0" applyNumberFormat="1" applyFont="1" applyFill="1" applyBorder="1" applyAlignment="1">
      <alignment vertical="top"/>
    </xf>
    <xf numFmtId="9" fontId="12" fillId="0" borderId="0" xfId="0" applyNumberFormat="1" applyFont="1"/>
    <xf numFmtId="177" fontId="12" fillId="0" borderId="10" xfId="0" applyNumberFormat="1" applyFont="1" applyBorder="1"/>
    <xf numFmtId="0" fontId="32" fillId="44" borderId="25" xfId="0" applyFont="1" applyFill="1" applyBorder="1" applyAlignment="1">
      <alignment vertical="top"/>
    </xf>
    <xf numFmtId="0" fontId="32" fillId="44" borderId="26" xfId="0" applyFont="1" applyFill="1" applyBorder="1" applyAlignment="1">
      <alignment vertical="top"/>
    </xf>
    <xf numFmtId="176" fontId="32" fillId="44" borderId="26" xfId="0" applyNumberFormat="1" applyFont="1" applyFill="1" applyBorder="1" applyAlignment="1">
      <alignment vertical="top"/>
    </xf>
    <xf numFmtId="188" fontId="31" fillId="44" borderId="26" xfId="0" applyNumberFormat="1" applyFont="1" applyFill="1" applyBorder="1" applyAlignment="1">
      <alignment vertical="top"/>
    </xf>
    <xf numFmtId="0" fontId="2" fillId="0" borderId="9" xfId="0" applyFont="1" applyBorder="1"/>
    <xf numFmtId="186" fontId="32" fillId="2" borderId="49" xfId="0" applyNumberFormat="1" applyFont="1" applyFill="1" applyBorder="1" applyAlignment="1">
      <alignment vertical="top"/>
    </xf>
    <xf numFmtId="176" fontId="32" fillId="0" borderId="0" xfId="0" applyNumberFormat="1" applyFont="1" applyAlignment="1">
      <alignment vertical="top"/>
    </xf>
    <xf numFmtId="0" fontId="31" fillId="45" borderId="25" xfId="0" applyFont="1" applyFill="1" applyBorder="1" applyAlignment="1">
      <alignment vertical="top"/>
    </xf>
    <xf numFmtId="0" fontId="31" fillId="45" borderId="26" xfId="0" applyFont="1" applyFill="1" applyBorder="1" applyAlignment="1">
      <alignment vertical="top"/>
    </xf>
    <xf numFmtId="179" fontId="31" fillId="45" borderId="26" xfId="0" applyNumberFormat="1" applyFont="1" applyFill="1" applyBorder="1" applyAlignment="1">
      <alignment vertical="top"/>
    </xf>
    <xf numFmtId="176" fontId="31" fillId="45" borderId="26" xfId="0" applyNumberFormat="1" applyFont="1" applyFill="1" applyBorder="1" applyAlignment="1">
      <alignment vertical="top"/>
    </xf>
    <xf numFmtId="188" fontId="31" fillId="45" borderId="26" xfId="0" applyNumberFormat="1" applyFont="1" applyFill="1" applyBorder="1" applyAlignment="1">
      <alignment vertical="top"/>
    </xf>
    <xf numFmtId="9" fontId="12" fillId="0" borderId="13" xfId="0" applyNumberFormat="1" applyFont="1" applyBorder="1" applyAlignment="1">
      <alignment vertical="top"/>
    </xf>
    <xf numFmtId="177" fontId="12" fillId="0" borderId="14" xfId="0" applyNumberFormat="1" applyFont="1" applyBorder="1" applyAlignment="1">
      <alignment vertical="top"/>
    </xf>
    <xf numFmtId="9" fontId="32" fillId="2" borderId="3" xfId="0" applyNumberFormat="1" applyFont="1" applyFill="1" applyBorder="1" applyAlignment="1">
      <alignment vertical="top"/>
    </xf>
    <xf numFmtId="176" fontId="32" fillId="36" borderId="0" xfId="0" applyNumberFormat="1" applyFont="1" applyFill="1" applyBorder="1" applyAlignment="1">
      <alignment vertical="top"/>
    </xf>
    <xf numFmtId="9" fontId="31" fillId="45" borderId="50" xfId="0" applyNumberFormat="1" applyFont="1" applyFill="1" applyBorder="1" applyAlignment="1">
      <alignment vertical="top"/>
    </xf>
    <xf numFmtId="9" fontId="32" fillId="2" borderId="51" xfId="0" applyNumberFormat="1" applyFont="1" applyFill="1" applyBorder="1" applyAlignment="1">
      <alignment vertical="top"/>
    </xf>
    <xf numFmtId="0" fontId="31" fillId="0" borderId="9" xfId="0" applyFont="1" applyBorder="1" applyAlignment="1">
      <alignment vertical="top"/>
    </xf>
    <xf numFmtId="0" fontId="31" fillId="44" borderId="25" xfId="0" applyFont="1" applyFill="1" applyBorder="1" applyAlignment="1">
      <alignment vertical="top"/>
    </xf>
    <xf numFmtId="0" fontId="31" fillId="44" borderId="26" xfId="0" applyFont="1" applyFill="1" applyBorder="1" applyAlignment="1">
      <alignment vertical="top"/>
    </xf>
    <xf numFmtId="176" fontId="31" fillId="44" borderId="26" xfId="0" applyNumberFormat="1" applyFont="1" applyFill="1" applyBorder="1" applyAlignment="1">
      <alignment vertical="top"/>
    </xf>
    <xf numFmtId="0" fontId="35" fillId="0" borderId="9" xfId="0" applyFont="1" applyBorder="1" applyAlignment="1">
      <alignment vertical="top"/>
    </xf>
    <xf numFmtId="0" fontId="31" fillId="0" borderId="0" xfId="0" applyFont="1" applyAlignment="1">
      <alignment vertical="top"/>
    </xf>
    <xf numFmtId="176" fontId="31" fillId="0" borderId="0" xfId="0" applyNumberFormat="1" applyFont="1" applyAlignment="1">
      <alignment vertical="top"/>
    </xf>
    <xf numFmtId="188" fontId="31" fillId="0" borderId="0" xfId="0" applyNumberFormat="1" applyFont="1" applyAlignment="1">
      <alignment vertical="top"/>
    </xf>
    <xf numFmtId="0" fontId="32" fillId="45" borderId="26" xfId="0" applyFont="1" applyFill="1" applyBorder="1" applyAlignment="1">
      <alignment vertical="top"/>
    </xf>
    <xf numFmtId="176" fontId="32" fillId="45" borderId="26" xfId="0" applyNumberFormat="1" applyFont="1" applyFill="1" applyBorder="1" applyAlignment="1">
      <alignment vertical="top"/>
    </xf>
    <xf numFmtId="188" fontId="32" fillId="45" borderId="26" xfId="0" applyNumberFormat="1" applyFont="1" applyFill="1" applyBorder="1" applyAlignment="1">
      <alignment vertical="top"/>
    </xf>
    <xf numFmtId="0" fontId="31" fillId="6" borderId="9" xfId="0" applyFont="1" applyFill="1" applyBorder="1" applyAlignment="1">
      <alignment vertical="top"/>
    </xf>
    <xf numFmtId="0" fontId="31" fillId="6" borderId="0" xfId="0" applyFont="1" applyFill="1" applyBorder="1" applyAlignment="1">
      <alignment vertical="top"/>
    </xf>
    <xf numFmtId="176" fontId="31" fillId="6" borderId="0" xfId="0" applyNumberFormat="1" applyFont="1" applyFill="1" applyBorder="1" applyAlignment="1">
      <alignment vertical="top"/>
    </xf>
    <xf numFmtId="177" fontId="31" fillId="6" borderId="0" xfId="0" applyNumberFormat="1" applyFont="1" applyFill="1" applyBorder="1" applyAlignment="1">
      <alignment vertical="top"/>
    </xf>
    <xf numFmtId="188" fontId="31" fillId="6" borderId="0" xfId="0" applyNumberFormat="1" applyFont="1" applyFill="1" applyBorder="1" applyAlignment="1">
      <alignment vertical="top"/>
    </xf>
    <xf numFmtId="177" fontId="31" fillId="45" borderId="26" xfId="0" applyNumberFormat="1" applyFont="1" applyFill="1" applyBorder="1" applyAlignment="1">
      <alignment vertical="top"/>
    </xf>
    <xf numFmtId="9" fontId="31" fillId="6" borderId="0" xfId="0" applyNumberFormat="1" applyFont="1" applyFill="1" applyBorder="1" applyAlignment="1">
      <alignment vertical="top"/>
    </xf>
    <xf numFmtId="185" fontId="31" fillId="6" borderId="0" xfId="0" applyNumberFormat="1" applyFont="1" applyFill="1" applyBorder="1" applyAlignment="1">
      <alignment vertical="top"/>
    </xf>
    <xf numFmtId="0" fontId="36" fillId="46" borderId="9" xfId="0" applyFont="1" applyFill="1" applyBorder="1" applyAlignment="1">
      <alignment vertical="center"/>
    </xf>
    <xf numFmtId="0" fontId="36" fillId="46" borderId="0" xfId="0" applyFont="1" applyFill="1" applyBorder="1" applyAlignment="1">
      <alignment vertical="center"/>
    </xf>
    <xf numFmtId="9" fontId="36" fillId="46" borderId="0" xfId="0" applyNumberFormat="1" applyFont="1" applyFill="1" applyBorder="1" applyAlignment="1">
      <alignment vertical="center"/>
    </xf>
    <xf numFmtId="192" fontId="36" fillId="46" borderId="44" xfId="0" applyNumberFormat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185" fontId="12" fillId="0" borderId="0" xfId="0" applyNumberFormat="1" applyFont="1" applyAlignment="1">
      <alignment vertical="top"/>
    </xf>
    <xf numFmtId="0" fontId="36" fillId="46" borderId="12" xfId="0" applyFont="1" applyFill="1" applyBorder="1" applyAlignment="1">
      <alignment vertical="center"/>
    </xf>
    <xf numFmtId="0" fontId="36" fillId="46" borderId="13" xfId="0" applyFont="1" applyFill="1" applyBorder="1" applyAlignment="1">
      <alignment vertical="center"/>
    </xf>
    <xf numFmtId="9" fontId="36" fillId="46" borderId="13" xfId="0" applyNumberFormat="1" applyFont="1" applyFill="1" applyBorder="1" applyAlignment="1">
      <alignment vertical="center"/>
    </xf>
    <xf numFmtId="185" fontId="36" fillId="46" borderId="52" xfId="0" applyNumberFormat="1" applyFont="1" applyFill="1" applyBorder="1" applyAlignment="1">
      <alignment vertical="center"/>
    </xf>
    <xf numFmtId="0" fontId="28" fillId="0" borderId="13" xfId="0" applyFont="1" applyBorder="1" applyAlignment="1">
      <alignment vertical="center"/>
    </xf>
    <xf numFmtId="9" fontId="13" fillId="0" borderId="0" xfId="0" applyNumberFormat="1" applyFont="1" applyAlignment="1">
      <alignment vertical="top"/>
    </xf>
    <xf numFmtId="10" fontId="12" fillId="0" borderId="0" xfId="0" applyNumberFormat="1" applyFont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257175</xdr:colOff>
      <xdr:row>7</xdr:row>
      <xdr:rowOff>85725</xdr:rowOff>
    </xdr:from>
    <xdr:ext cx="2143125" cy="771525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361170" y="1485900"/>
          <a:ext cx="2143125" cy="7715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G934"/>
  <sheetViews>
    <sheetView showGridLines="0" tabSelected="1" zoomScale="85" zoomScaleNormal="85" topLeftCell="A11" workbookViewId="0">
      <selection activeCell="D30" sqref="D30"/>
    </sheetView>
  </sheetViews>
  <sheetFormatPr defaultColWidth="14.4336283185841" defaultRowHeight="15" customHeight="1"/>
  <cols>
    <col min="1" max="1" width="6" customWidth="1"/>
    <col min="2" max="2" width="47.4336283185841" customWidth="1"/>
    <col min="3" max="3" width="14.4336283185841" outlineLevel="1"/>
    <col min="4" max="4" width="15.4336283185841" customWidth="1" outlineLevel="1"/>
    <col min="5" max="5" width="19.141592920354" customWidth="1" outlineLevel="1"/>
    <col min="6" max="6" width="17.2920353982301" customWidth="1" outlineLevel="1"/>
    <col min="7" max="7" width="20.4336283185841" customWidth="1"/>
    <col min="8" max="8" width="19.4336283185841" customWidth="1" outlineLevel="1"/>
    <col min="9" max="9" width="20.7079646017699" customWidth="1"/>
    <col min="10" max="10" width="19.4336283185841" customWidth="1"/>
    <col min="11" max="11" width="19" customWidth="1"/>
    <col min="12" max="12" width="17" customWidth="1"/>
    <col min="13" max="15" width="13.4336283185841" customWidth="1"/>
    <col min="16" max="16" width="15.2920353982301" customWidth="1"/>
    <col min="17" max="17" width="25.141592920354" customWidth="1"/>
    <col min="18" max="18" width="16.7079646017699" customWidth="1"/>
    <col min="19" max="19" width="13" customWidth="1"/>
    <col min="20" max="20" width="9.14159292035398" customWidth="1"/>
    <col min="21" max="21" width="14.858407079646" customWidth="1"/>
    <col min="22" max="26" width="9.14159292035398" customWidth="1"/>
  </cols>
  <sheetData>
    <row r="1" ht="13.5" customHeight="1" spans="1:33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2"/>
      <c r="AB1" s="2"/>
      <c r="AC1" s="2"/>
      <c r="AD1" s="2"/>
      <c r="AE1" s="2"/>
      <c r="AF1" s="2"/>
      <c r="AG1" s="2"/>
    </row>
    <row r="2" ht="13.5" customHeight="1" spans="1:33">
      <c r="A2" s="90"/>
      <c r="B2" s="90" t="s">
        <v>0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2"/>
      <c r="AB2" s="2"/>
      <c r="AC2" s="2"/>
      <c r="AD2" s="2"/>
      <c r="AE2" s="2"/>
      <c r="AF2" s="2"/>
      <c r="AG2" s="2"/>
    </row>
    <row r="3" ht="13.5" customHeight="1" spans="1:33">
      <c r="A3" s="90"/>
      <c r="B3" s="91" t="s">
        <v>1</v>
      </c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2"/>
      <c r="AB3" s="2"/>
      <c r="AC3" s="2"/>
      <c r="AD3" s="2"/>
      <c r="AE3" s="2"/>
      <c r="AF3" s="2"/>
      <c r="AG3" s="2"/>
    </row>
    <row r="4" ht="13.5" customHeight="1" spans="1:33">
      <c r="A4" s="90"/>
      <c r="B4" s="90"/>
      <c r="C4" s="90"/>
      <c r="D4" s="90"/>
      <c r="E4" s="90"/>
      <c r="F4" s="90"/>
      <c r="G4" s="92" t="s">
        <v>2</v>
      </c>
      <c r="H4" s="93">
        <v>46056</v>
      </c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2"/>
      <c r="AB4" s="2"/>
      <c r="AC4" s="2"/>
      <c r="AD4" s="2"/>
      <c r="AE4" s="2"/>
      <c r="AF4" s="2"/>
      <c r="AG4" s="2"/>
    </row>
    <row r="5" ht="13.5" customHeight="1" spans="1:33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2"/>
      <c r="AB5" s="2"/>
      <c r="AC5" s="2"/>
      <c r="AD5" s="2"/>
      <c r="AE5" s="2"/>
      <c r="AF5" s="2"/>
      <c r="AG5" s="2"/>
    </row>
    <row r="6" ht="13.5" customHeight="1" spans="1:33">
      <c r="A6" s="90"/>
      <c r="B6" s="94" t="s">
        <v>3</v>
      </c>
      <c r="C6" s="95"/>
      <c r="D6" s="96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2"/>
      <c r="AA6" s="2"/>
      <c r="AB6" s="2"/>
      <c r="AC6" s="2"/>
      <c r="AD6" s="2"/>
      <c r="AE6" s="2"/>
      <c r="AF6" s="2"/>
      <c r="AG6" s="2"/>
    </row>
    <row r="7" ht="13.5" customHeight="1" spans="1:33">
      <c r="A7" s="90"/>
      <c r="B7" s="97" t="s">
        <v>4</v>
      </c>
      <c r="C7" s="90"/>
      <c r="D7" s="98">
        <v>1950</v>
      </c>
      <c r="E7" s="99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2"/>
      <c r="AA7" s="2"/>
      <c r="AB7" s="2"/>
      <c r="AC7" s="2"/>
      <c r="AD7" s="2"/>
      <c r="AE7" s="2"/>
      <c r="AF7" s="2"/>
      <c r="AG7" s="2"/>
    </row>
    <row r="8" ht="13.5" customHeight="1" spans="1:33">
      <c r="A8" s="90"/>
      <c r="B8" s="100" t="s">
        <v>5</v>
      </c>
      <c r="C8" s="90"/>
      <c r="D8" s="101"/>
      <c r="E8" s="99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2"/>
      <c r="AA8" s="2"/>
      <c r="AB8" s="2"/>
      <c r="AC8" s="2"/>
      <c r="AD8" s="2"/>
      <c r="AE8" s="2"/>
      <c r="AF8" s="2"/>
      <c r="AG8" s="2"/>
    </row>
    <row r="9" ht="13.5" customHeight="1" spans="1:33">
      <c r="A9" s="90"/>
      <c r="B9" s="100" t="s">
        <v>6</v>
      </c>
      <c r="C9" s="90"/>
      <c r="D9" s="102"/>
      <c r="E9" s="99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2"/>
      <c r="AA9" s="2"/>
      <c r="AB9" s="2"/>
      <c r="AC9" s="2"/>
      <c r="AD9" s="2"/>
      <c r="AE9" s="2"/>
      <c r="AF9" s="2"/>
      <c r="AG9" s="2"/>
    </row>
    <row r="10" ht="13.5" customHeight="1" spans="1:33">
      <c r="A10" s="90"/>
      <c r="B10" s="100" t="s">
        <v>7</v>
      </c>
      <c r="C10" s="90"/>
      <c r="D10" s="103"/>
      <c r="E10" s="99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2"/>
      <c r="AA10" s="2"/>
      <c r="AB10" s="2"/>
      <c r="AC10" s="2"/>
      <c r="AD10" s="2"/>
      <c r="AE10" s="2"/>
      <c r="AF10" s="2"/>
      <c r="AG10" s="2"/>
    </row>
    <row r="11" ht="13.5" customHeight="1" spans="1:33">
      <c r="A11" s="90"/>
      <c r="B11" s="100" t="s">
        <v>8</v>
      </c>
      <c r="C11" s="90"/>
      <c r="D11" s="104">
        <v>6200000</v>
      </c>
      <c r="E11" s="99"/>
      <c r="F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2"/>
      <c r="AA11" s="2"/>
      <c r="AB11" s="2"/>
      <c r="AC11" s="2"/>
      <c r="AD11" s="2"/>
      <c r="AE11" s="2"/>
      <c r="AF11" s="2"/>
      <c r="AG11" s="2"/>
    </row>
    <row r="12" ht="13.5" customHeight="1" spans="1:33">
      <c r="A12" s="90"/>
      <c r="B12" s="100" t="s">
        <v>9</v>
      </c>
      <c r="C12" s="90"/>
      <c r="D12" s="98">
        <v>96.42</v>
      </c>
      <c r="E12" s="105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2"/>
      <c r="AA12" s="2"/>
      <c r="AB12" s="2"/>
      <c r="AC12" s="2"/>
      <c r="AD12" s="2"/>
      <c r="AE12" s="2"/>
      <c r="AF12" s="2"/>
      <c r="AG12" s="2"/>
    </row>
    <row r="13" ht="13.5" customHeight="1" spans="1:33">
      <c r="A13" s="90"/>
      <c r="B13" s="100" t="s">
        <v>10</v>
      </c>
      <c r="C13" s="90"/>
      <c r="D13" s="106">
        <v>28</v>
      </c>
      <c r="E13" s="99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2"/>
      <c r="AA13" s="2"/>
      <c r="AB13" s="2"/>
      <c r="AC13" s="2"/>
      <c r="AD13" s="2"/>
      <c r="AE13" s="2"/>
      <c r="AF13" s="2"/>
      <c r="AG13" s="2"/>
    </row>
    <row r="14" ht="13.5" customHeight="1" spans="1:33">
      <c r="A14" s="90"/>
      <c r="B14" s="100" t="s">
        <v>11</v>
      </c>
      <c r="C14" s="90"/>
      <c r="D14" s="106">
        <v>0</v>
      </c>
      <c r="E14" s="99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2"/>
      <c r="AA14" s="2"/>
      <c r="AB14" s="2"/>
      <c r="AC14" s="2"/>
      <c r="AD14" s="2"/>
      <c r="AE14" s="2"/>
      <c r="AF14" s="2"/>
      <c r="AG14" s="2"/>
    </row>
    <row r="15" ht="13.5" customHeight="1" spans="1:33">
      <c r="A15" s="90"/>
      <c r="B15" s="107" t="s">
        <v>12</v>
      </c>
      <c r="C15" s="108"/>
      <c r="D15" s="109" t="s">
        <v>13</v>
      </c>
      <c r="E15" s="99"/>
      <c r="F15" s="90"/>
      <c r="G15" s="90"/>
      <c r="H15" s="90"/>
      <c r="I15" s="90"/>
      <c r="J15" s="110"/>
      <c r="K15" s="90"/>
      <c r="L15" s="90"/>
      <c r="M15" s="111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2"/>
      <c r="AA15" s="2"/>
      <c r="AB15" s="2"/>
      <c r="AC15" s="2"/>
      <c r="AD15" s="2"/>
      <c r="AE15" s="2"/>
      <c r="AF15" s="2"/>
      <c r="AG15" s="2"/>
    </row>
    <row r="16" ht="13.5" customHeight="1" spans="1:33">
      <c r="A16" s="90"/>
      <c r="B16" s="90"/>
      <c r="C16" s="90"/>
      <c r="D16" s="112"/>
      <c r="E16" s="90"/>
      <c r="F16" s="90"/>
      <c r="G16" s="90"/>
      <c r="H16" s="90"/>
      <c r="I16" s="90"/>
      <c r="J16" s="90"/>
      <c r="K16" s="110"/>
      <c r="L16" s="90"/>
      <c r="M16" s="90"/>
      <c r="N16" s="111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2"/>
      <c r="AB16" s="2"/>
      <c r="AC16" s="2"/>
      <c r="AD16" s="2"/>
      <c r="AE16" s="2"/>
      <c r="AF16" s="2"/>
      <c r="AG16" s="2"/>
    </row>
    <row r="17" ht="13.5" customHeight="1" spans="1:33">
      <c r="A17" s="90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2"/>
      <c r="AB17" s="2"/>
      <c r="AC17" s="2"/>
      <c r="AD17" s="2"/>
      <c r="AE17" s="2"/>
      <c r="AF17" s="2"/>
      <c r="AG17" s="2"/>
    </row>
    <row r="18" ht="13.5" customHeight="1" spans="1:33">
      <c r="A18" s="90"/>
      <c r="B18" s="113" t="s">
        <v>14</v>
      </c>
      <c r="C18" s="114"/>
      <c r="D18" s="115"/>
      <c r="E18" s="115"/>
      <c r="F18" s="115">
        <v>2025</v>
      </c>
      <c r="G18" s="115">
        <v>2026</v>
      </c>
      <c r="H18" s="115"/>
      <c r="I18" s="116"/>
      <c r="K18" s="90"/>
      <c r="L18" s="117"/>
      <c r="M18" s="90"/>
      <c r="N18" s="90"/>
      <c r="O18" s="118"/>
      <c r="P18" s="90"/>
      <c r="Q18" s="90"/>
      <c r="R18" s="90"/>
      <c r="S18" s="90"/>
      <c r="T18" s="90"/>
      <c r="U18" s="90"/>
      <c r="V18" s="90"/>
      <c r="W18" s="90"/>
      <c r="X18" s="90"/>
      <c r="Y18" s="90"/>
    </row>
    <row r="19" ht="12.75" customHeight="1" spans="1:33">
      <c r="A19" s="90"/>
      <c r="B19" s="119" t="s">
        <v>15</v>
      </c>
      <c r="C19" s="120" t="s">
        <v>16</v>
      </c>
      <c r="D19" s="120" t="s">
        <v>17</v>
      </c>
      <c r="E19" s="120" t="s">
        <v>18</v>
      </c>
      <c r="F19" s="121" t="s">
        <v>19</v>
      </c>
      <c r="G19" s="121" t="s">
        <v>20</v>
      </c>
      <c r="H19" s="121" t="s">
        <v>21</v>
      </c>
      <c r="I19" s="122" t="s">
        <v>22</v>
      </c>
      <c r="K19" s="110"/>
      <c r="L19" s="110"/>
      <c r="M19" s="110"/>
      <c r="N19" s="110"/>
      <c r="O19" s="123"/>
      <c r="P19" s="90"/>
      <c r="Q19" s="90"/>
      <c r="R19" s="90"/>
      <c r="S19" s="90"/>
      <c r="T19" s="90"/>
      <c r="U19" s="90"/>
      <c r="V19" s="90"/>
      <c r="W19" s="90"/>
      <c r="X19" s="90"/>
      <c r="Y19" s="90"/>
    </row>
    <row r="20" ht="14.25" spans="1:33">
      <c r="A20" s="90"/>
      <c r="B20" s="124" t="s">
        <v>23</v>
      </c>
      <c r="C20" s="125">
        <v>9</v>
      </c>
      <c r="D20" s="126">
        <v>1</v>
      </c>
      <c r="E20" s="126">
        <v>540</v>
      </c>
      <c r="F20" s="127">
        <v>1490</v>
      </c>
      <c r="G20" s="128">
        <v>1500</v>
      </c>
      <c r="H20" s="128">
        <f t="shared" ref="H20:H22" si="0">F20*12*C20</f>
        <v>160920</v>
      </c>
      <c r="I20" s="129">
        <f t="shared" ref="I20:I22" si="1">G20*12*C20</f>
        <v>162000</v>
      </c>
      <c r="K20" s="123"/>
      <c r="L20" s="123"/>
      <c r="M20" s="130"/>
      <c r="N20" s="130"/>
      <c r="O20" s="131"/>
      <c r="P20" s="90"/>
      <c r="Q20" s="90"/>
      <c r="R20" s="90"/>
      <c r="S20" s="90"/>
      <c r="T20" s="90"/>
      <c r="U20" s="90"/>
      <c r="V20" s="90"/>
      <c r="W20" s="90"/>
      <c r="X20" s="90"/>
      <c r="Y20" s="90"/>
    </row>
    <row r="21" ht="14.25" spans="1:33">
      <c r="A21" s="90"/>
      <c r="B21" s="124" t="s">
        <v>24</v>
      </c>
      <c r="C21" s="125">
        <v>15</v>
      </c>
      <c r="D21" s="132">
        <v>2</v>
      </c>
      <c r="E21" s="132">
        <v>840</v>
      </c>
      <c r="F21" s="127">
        <v>1850</v>
      </c>
      <c r="G21" s="128">
        <v>1990</v>
      </c>
      <c r="H21" s="128">
        <f t="shared" si="0"/>
        <v>333000</v>
      </c>
      <c r="I21" s="129">
        <f t="shared" si="1"/>
        <v>358200</v>
      </c>
      <c r="K21" s="123"/>
      <c r="L21" s="123"/>
      <c r="M21" s="130"/>
      <c r="N21" s="130"/>
      <c r="O21" s="131"/>
      <c r="P21" s="90"/>
      <c r="Q21" s="90"/>
      <c r="R21" s="90"/>
      <c r="S21" s="90"/>
      <c r="T21" s="90"/>
      <c r="U21" s="90"/>
      <c r="V21" s="90"/>
      <c r="W21" s="90"/>
      <c r="X21" s="90"/>
      <c r="Y21" s="90"/>
    </row>
    <row r="22" ht="14.25" spans="1:33">
      <c r="A22" s="90"/>
      <c r="B22" s="124" t="s">
        <v>25</v>
      </c>
      <c r="C22" s="125">
        <v>3</v>
      </c>
      <c r="D22" s="132">
        <v>2</v>
      </c>
      <c r="E22" s="132"/>
      <c r="F22" s="127">
        <v>1950</v>
      </c>
      <c r="G22" s="128">
        <v>2150</v>
      </c>
      <c r="H22" s="128">
        <f t="shared" si="0"/>
        <v>70200</v>
      </c>
      <c r="I22" s="129">
        <f t="shared" si="1"/>
        <v>77400</v>
      </c>
      <c r="K22" s="123"/>
      <c r="L22" s="123"/>
      <c r="M22" s="130"/>
      <c r="N22" s="130"/>
      <c r="O22" s="131"/>
      <c r="P22" s="90"/>
      <c r="Q22" s="90"/>
      <c r="R22" s="90"/>
      <c r="S22" s="90"/>
      <c r="T22" s="90"/>
      <c r="U22" s="90"/>
      <c r="V22" s="90"/>
      <c r="W22" s="90"/>
      <c r="X22" s="90"/>
      <c r="Y22" s="90"/>
    </row>
    <row r="23" spans="1:33">
      <c r="A23" s="133"/>
      <c r="B23" s="134" t="s">
        <v>26</v>
      </c>
      <c r="C23" s="135" t="e">
        <f>C20+#REF!+C22</f>
        <v>#REF!</v>
      </c>
      <c r="D23" s="135"/>
      <c r="E23" s="135"/>
      <c r="F23" s="136"/>
      <c r="G23" s="137"/>
      <c r="H23" s="137">
        <f t="shared" ref="H23:I23" si="2">SUM(H20:H22)</f>
        <v>564120</v>
      </c>
      <c r="I23" s="138">
        <f t="shared" si="2"/>
        <v>597600</v>
      </c>
      <c r="K23" s="139"/>
      <c r="L23" s="139"/>
      <c r="M23" s="139"/>
      <c r="N23" s="139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2"/>
      <c r="AA23" s="2"/>
      <c r="AB23" s="2"/>
      <c r="AC23" s="2"/>
      <c r="AD23" s="2"/>
      <c r="AE23" s="2"/>
      <c r="AF23" s="2"/>
    </row>
    <row r="24" ht="12.75" customHeight="1" spans="1:33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2"/>
      <c r="AB24" s="2"/>
      <c r="AC24" s="2"/>
      <c r="AD24" s="2"/>
      <c r="AE24" s="2"/>
      <c r="AF24" s="2"/>
      <c r="AG24" s="2"/>
    </row>
    <row r="25" ht="13.5" customHeight="1" spans="1:33">
      <c r="A25" s="90"/>
      <c r="B25" s="90"/>
      <c r="C25" s="111"/>
      <c r="D25" s="140"/>
      <c r="E25" s="111"/>
      <c r="F25" s="111"/>
      <c r="G25" s="111"/>
      <c r="H25" s="111"/>
      <c r="I25" s="111"/>
      <c r="J25" s="111"/>
      <c r="K25" s="141"/>
      <c r="L25" s="141"/>
      <c r="M25" s="111"/>
      <c r="N25" s="111"/>
      <c r="O25" s="111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2"/>
      <c r="AB25" s="2"/>
      <c r="AC25" s="2"/>
      <c r="AD25" s="2"/>
      <c r="AE25" s="2"/>
      <c r="AF25" s="2"/>
      <c r="AG25" s="2"/>
    </row>
    <row r="26" ht="13.5" customHeight="1" outlineLevel="1" spans="1:33">
      <c r="A26" s="9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2"/>
      <c r="AB26" s="2"/>
      <c r="AC26" s="2"/>
      <c r="AD26" s="2"/>
      <c r="AE26" s="2"/>
      <c r="AF26" s="2"/>
      <c r="AG26" s="2"/>
    </row>
    <row r="27" ht="13.5" customHeight="1" outlineLevel="1" spans="1:33">
      <c r="A27" s="90"/>
      <c r="B27" s="142" t="s">
        <v>27</v>
      </c>
      <c r="C27" s="143"/>
      <c r="D27" s="144"/>
      <c r="E27" s="90"/>
      <c r="F27" s="145" t="s">
        <v>28</v>
      </c>
      <c r="G27" s="144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2"/>
      <c r="AB27" s="2"/>
      <c r="AC27" s="2"/>
      <c r="AD27" s="2"/>
      <c r="AE27" s="2"/>
      <c r="AF27" s="2"/>
      <c r="AG27" s="2"/>
    </row>
    <row r="28" ht="13.5" customHeight="1" outlineLevel="1" spans="1:33">
      <c r="A28" s="90"/>
      <c r="B28" s="146" t="s">
        <v>29</v>
      </c>
      <c r="C28" s="90"/>
      <c r="D28" s="98"/>
      <c r="E28" s="90"/>
      <c r="F28" s="100"/>
      <c r="G28" s="98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2"/>
      <c r="AB28" s="2"/>
      <c r="AC28" s="2"/>
      <c r="AD28" s="2"/>
      <c r="AE28" s="2"/>
      <c r="AF28" s="2"/>
      <c r="AG28" s="2"/>
    </row>
    <row r="29" ht="13.5" customHeight="1" outlineLevel="1" spans="1:33">
      <c r="A29" s="90"/>
      <c r="B29" s="147" t="s">
        <v>30</v>
      </c>
      <c r="C29" s="90"/>
      <c r="D29" s="148">
        <v>0.03</v>
      </c>
      <c r="E29" s="90"/>
      <c r="F29" s="149" t="s">
        <v>31</v>
      </c>
      <c r="G29" s="15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2"/>
      <c r="AB29" s="2"/>
      <c r="AC29" s="2"/>
      <c r="AD29" s="2"/>
      <c r="AE29" s="2"/>
      <c r="AF29" s="2"/>
      <c r="AG29" s="2"/>
    </row>
    <row r="30" ht="13.5" customHeight="1" outlineLevel="1" spans="1:33">
      <c r="A30" s="90"/>
      <c r="B30" s="147"/>
      <c r="C30" s="90"/>
      <c r="D30" s="151"/>
      <c r="E30" s="90"/>
      <c r="F30" s="100"/>
      <c r="G30" s="152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2"/>
      <c r="AB30" s="2"/>
      <c r="AC30" s="2"/>
      <c r="AD30" s="2"/>
      <c r="AE30" s="2"/>
      <c r="AF30" s="2"/>
      <c r="AG30" s="2"/>
    </row>
    <row r="31" ht="13.5" customHeight="1" outlineLevel="1" spans="1:33">
      <c r="A31" s="90"/>
      <c r="B31" s="146" t="s">
        <v>32</v>
      </c>
      <c r="C31" s="90"/>
      <c r="D31" s="151"/>
      <c r="E31" s="90"/>
      <c r="F31" s="100"/>
      <c r="G31" s="152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2"/>
      <c r="AB31" s="2"/>
      <c r="AC31" s="2"/>
      <c r="AD31" s="2"/>
      <c r="AE31" s="2"/>
      <c r="AF31" s="2"/>
      <c r="AG31" s="2"/>
    </row>
    <row r="32" ht="13.5" customHeight="1" outlineLevel="1" spans="1:33">
      <c r="A32" s="90"/>
      <c r="B32" s="147" t="s">
        <v>33</v>
      </c>
      <c r="C32" s="90"/>
      <c r="D32" s="148">
        <v>0.03</v>
      </c>
      <c r="E32" s="90"/>
      <c r="F32" s="100"/>
      <c r="G32" s="152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2"/>
      <c r="AB32" s="2"/>
      <c r="AC32" s="2"/>
      <c r="AD32" s="2"/>
      <c r="AE32" s="2"/>
      <c r="AF32" s="2"/>
      <c r="AG32" s="2"/>
    </row>
    <row r="33" ht="13.5" customHeight="1" outlineLevel="1" spans="1:33">
      <c r="A33" s="90"/>
      <c r="B33" s="153" t="s">
        <v>34</v>
      </c>
      <c r="C33" s="108"/>
      <c r="D33" s="154">
        <v>0.03</v>
      </c>
      <c r="E33" s="90"/>
      <c r="F33" s="155" t="s">
        <v>35</v>
      </c>
      <c r="G33" s="156">
        <f>SUM(G30:G32)</f>
        <v>0</v>
      </c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2"/>
      <c r="AB33" s="2"/>
      <c r="AC33" s="2"/>
      <c r="AD33" s="2"/>
      <c r="AE33" s="2"/>
      <c r="AF33" s="2"/>
      <c r="AG33" s="2"/>
    </row>
    <row r="34" ht="13.5" customHeight="1" outlineLevel="1" spans="1:33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2"/>
      <c r="AB34" s="2"/>
      <c r="AC34" s="2"/>
      <c r="AD34" s="2"/>
      <c r="AE34" s="2"/>
      <c r="AF34" s="2"/>
      <c r="AG34" s="2"/>
    </row>
    <row r="35" ht="13.5" customHeight="1" outlineLevel="1" spans="1:33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2"/>
      <c r="AB35" s="2"/>
      <c r="AC35" s="2"/>
      <c r="AD35" s="2"/>
      <c r="AE35" s="2"/>
      <c r="AF35" s="2"/>
      <c r="AG35" s="2"/>
    </row>
    <row r="36" ht="25.5" customHeight="1" spans="1:33">
      <c r="A36" s="157"/>
      <c r="B36" s="158" t="s">
        <v>36</v>
      </c>
      <c r="C36" s="159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57"/>
      <c r="Q36" s="157"/>
      <c r="R36" s="157"/>
      <c r="S36" s="157"/>
      <c r="T36" s="157"/>
      <c r="U36" s="157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</row>
    <row r="37" ht="25.5" customHeight="1" spans="1:33">
      <c r="A37" s="90"/>
      <c r="B37" s="162" t="s">
        <v>37</v>
      </c>
      <c r="C37" s="163"/>
      <c r="D37" s="164"/>
      <c r="E37" s="164"/>
      <c r="F37" s="164"/>
      <c r="G37" s="165"/>
      <c r="H37" s="165"/>
      <c r="I37" s="165"/>
      <c r="J37" s="165"/>
      <c r="K37" s="165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2"/>
      <c r="W37" s="2"/>
    </row>
    <row r="38" ht="13.5" customHeight="1" spans="1:33">
      <c r="A38" s="90"/>
      <c r="B38" s="166" t="s">
        <v>38</v>
      </c>
      <c r="C38" s="167"/>
      <c r="D38" s="167"/>
      <c r="E38" s="167" t="s">
        <v>39</v>
      </c>
      <c r="F38" s="167" t="s">
        <v>40</v>
      </c>
      <c r="G38" s="168" t="s">
        <v>41</v>
      </c>
      <c r="H38" s="168" t="s">
        <v>42</v>
      </c>
      <c r="I38" s="168" t="s">
        <v>43</v>
      </c>
      <c r="J38" s="168" t="s">
        <v>44</v>
      </c>
      <c r="K38" s="168" t="s">
        <v>45</v>
      </c>
      <c r="L38" s="90"/>
      <c r="M38" s="90"/>
      <c r="N38" s="90"/>
      <c r="O38" s="90"/>
      <c r="P38" s="90"/>
      <c r="Q38" s="90"/>
      <c r="R38" s="90"/>
      <c r="S38" s="90"/>
      <c r="T38" s="2"/>
      <c r="U38" s="2"/>
    </row>
    <row r="39" ht="13.5" customHeight="1" spans="1:33">
      <c r="A39" s="90"/>
      <c r="B39" s="100"/>
      <c r="C39" s="90"/>
      <c r="D39" s="90"/>
      <c r="E39" s="169"/>
      <c r="F39" s="90"/>
      <c r="G39" s="98"/>
      <c r="H39" s="98"/>
      <c r="I39" s="98"/>
      <c r="J39" s="98"/>
      <c r="K39" s="98"/>
      <c r="L39" s="90"/>
      <c r="M39" s="90"/>
      <c r="N39" s="90"/>
      <c r="O39" s="90"/>
      <c r="P39" s="90"/>
      <c r="Q39" s="90"/>
      <c r="R39" s="90"/>
      <c r="S39" s="90"/>
      <c r="T39" s="2"/>
      <c r="U39" s="2"/>
    </row>
    <row r="40" ht="13.5" customHeight="1" spans="1:33">
      <c r="A40" s="90"/>
      <c r="B40" s="170" t="s">
        <v>46</v>
      </c>
      <c r="C40" s="90" t="s">
        <v>47</v>
      </c>
      <c r="D40" s="171" t="s">
        <v>48</v>
      </c>
      <c r="E40" s="169"/>
      <c r="F40" s="90"/>
      <c r="G40" s="98"/>
      <c r="H40" s="98"/>
      <c r="I40" s="98"/>
      <c r="J40" s="98"/>
      <c r="K40" s="98"/>
      <c r="L40" s="90"/>
      <c r="M40" s="90"/>
      <c r="N40" s="90"/>
      <c r="O40" s="90"/>
      <c r="P40" s="90"/>
      <c r="Q40" s="90"/>
      <c r="R40" s="90"/>
      <c r="S40" s="90"/>
      <c r="T40" s="2"/>
      <c r="U40" s="2"/>
    </row>
    <row r="41" ht="13.5" customHeight="1" spans="1:33">
      <c r="A41" s="90"/>
      <c r="B41" s="100" t="s">
        <v>49</v>
      </c>
      <c r="C41" s="90"/>
      <c r="D41" s="172">
        <f>G41/28</f>
        <v>21342.8571428571</v>
      </c>
      <c r="E41" s="173">
        <f>F41</f>
        <v>536297.82</v>
      </c>
      <c r="F41" s="172">
        <f>SUM('T12'!N9:Y9)</f>
        <v>536297.82</v>
      </c>
      <c r="G41" s="174">
        <f>I23</f>
        <v>597600</v>
      </c>
      <c r="H41" s="174">
        <f>I23</f>
        <v>597600</v>
      </c>
      <c r="I41" s="174">
        <f t="shared" ref="I41:K41" si="3">H41*1.04</f>
        <v>621504</v>
      </c>
      <c r="J41" s="174">
        <f t="shared" si="3"/>
        <v>646364.16</v>
      </c>
      <c r="K41" s="174">
        <f t="shared" si="3"/>
        <v>672218.7264</v>
      </c>
      <c r="L41" s="90"/>
      <c r="M41" s="90"/>
      <c r="N41" s="90"/>
      <c r="O41" s="90"/>
      <c r="P41" s="90"/>
      <c r="Q41" s="90"/>
      <c r="R41" s="90"/>
      <c r="S41" s="90"/>
      <c r="T41" s="2"/>
      <c r="U41" s="2"/>
    </row>
    <row r="42" ht="13.5" customHeight="1" spans="1:33">
      <c r="A42" s="90"/>
      <c r="B42" s="100" t="s">
        <v>50</v>
      </c>
      <c r="C42" s="112"/>
      <c r="D42" s="172">
        <f t="shared" ref="D41:D51" si="4">G42/28</f>
        <v>45.6205357142857</v>
      </c>
      <c r="E42" s="173">
        <f>SUM('T12'!B10:M10)</f>
        <v>2554.75</v>
      </c>
      <c r="F42" s="172">
        <f>SUM('T12'!N10:Y10)</f>
        <v>0</v>
      </c>
      <c r="G42" s="174">
        <f t="shared" ref="G42:G51" si="5">AVERAGE(E42:F42)</f>
        <v>1277.375</v>
      </c>
      <c r="H42" s="152">
        <f t="shared" ref="H42:K42" si="6">G42*1.03</f>
        <v>1315.69625</v>
      </c>
      <c r="I42" s="152">
        <f t="shared" si="6"/>
        <v>1355.1671375</v>
      </c>
      <c r="J42" s="152">
        <f t="shared" si="6"/>
        <v>1395.822151625</v>
      </c>
      <c r="K42" s="152">
        <f t="shared" si="6"/>
        <v>1437.69681617375</v>
      </c>
      <c r="L42" s="90"/>
      <c r="M42" s="90"/>
      <c r="N42" s="90"/>
      <c r="O42" s="90"/>
      <c r="P42" s="90"/>
      <c r="Q42" s="90"/>
      <c r="R42" s="90"/>
      <c r="S42" s="90"/>
      <c r="T42" s="2"/>
      <c r="U42" s="2"/>
    </row>
    <row r="43" ht="13.5" customHeight="1" spans="1:33">
      <c r="A43" s="90"/>
      <c r="B43" s="100" t="s">
        <v>51</v>
      </c>
      <c r="C43" s="112"/>
      <c r="D43" s="172">
        <f t="shared" si="4"/>
        <v>35.625</v>
      </c>
      <c r="E43" s="173">
        <f>SUM('T12'!B11:M11)</f>
        <v>1015</v>
      </c>
      <c r="F43" s="172">
        <f>SUM('T12'!N11:Y11)</f>
        <v>980</v>
      </c>
      <c r="G43" s="174">
        <f t="shared" si="5"/>
        <v>997.5</v>
      </c>
      <c r="H43" s="152">
        <f t="shared" ref="H43:K43" si="7">G43*1.03</f>
        <v>1027.425</v>
      </c>
      <c r="I43" s="152">
        <f t="shared" si="7"/>
        <v>1058.24775</v>
      </c>
      <c r="J43" s="152">
        <f t="shared" si="7"/>
        <v>1089.9951825</v>
      </c>
      <c r="K43" s="152">
        <f t="shared" si="7"/>
        <v>1122.695037975</v>
      </c>
      <c r="L43" s="90"/>
      <c r="M43" s="90"/>
      <c r="N43" s="90"/>
      <c r="O43" s="90"/>
      <c r="P43" s="90"/>
      <c r="Q43" s="90"/>
      <c r="R43" s="90"/>
      <c r="S43" s="90"/>
      <c r="T43" s="2"/>
      <c r="U43" s="2"/>
    </row>
    <row r="44" ht="13.5" customHeight="1" spans="1:33">
      <c r="A44" s="90"/>
      <c r="B44" s="100" t="s">
        <v>52</v>
      </c>
      <c r="C44" s="112"/>
      <c r="D44" s="172">
        <f t="shared" si="4"/>
        <v>0.714285714285714</v>
      </c>
      <c r="E44" s="173">
        <f>SUM('T12'!B12:M12)</f>
        <v>5</v>
      </c>
      <c r="F44" s="172">
        <f>SUM('T12'!N12:Y12)</f>
        <v>35</v>
      </c>
      <c r="G44" s="174">
        <f t="shared" si="5"/>
        <v>20</v>
      </c>
      <c r="H44" s="152">
        <f t="shared" ref="H44:K44" si="8">G44*1.03</f>
        <v>20.6</v>
      </c>
      <c r="I44" s="152">
        <f t="shared" si="8"/>
        <v>21.218</v>
      </c>
      <c r="J44" s="152">
        <f t="shared" si="8"/>
        <v>21.85454</v>
      </c>
      <c r="K44" s="152">
        <f t="shared" si="8"/>
        <v>22.5101762</v>
      </c>
      <c r="L44" s="90"/>
      <c r="M44" s="90"/>
      <c r="N44" s="90"/>
      <c r="O44" s="90"/>
      <c r="P44" s="90"/>
      <c r="Q44" s="90"/>
      <c r="R44" s="90"/>
      <c r="S44" s="90"/>
      <c r="T44" s="2"/>
      <c r="U44" s="2"/>
    </row>
    <row r="45" ht="13.5" customHeight="1" spans="1:33">
      <c r="A45" s="90"/>
      <c r="B45" s="100" t="s">
        <v>53</v>
      </c>
      <c r="C45" s="112"/>
      <c r="D45" s="172">
        <f t="shared" si="4"/>
        <v>107.362321428571</v>
      </c>
      <c r="E45" s="173">
        <f>SUM('T12'!B13:M13)</f>
        <v>3554.29</v>
      </c>
      <c r="F45" s="172">
        <f>SUM('T12'!N13:Y13)</f>
        <v>2458</v>
      </c>
      <c r="G45" s="174">
        <f t="shared" si="5"/>
        <v>3006.145</v>
      </c>
      <c r="H45" s="152">
        <f t="shared" ref="H45:K45" si="9">G45*1.03</f>
        <v>3096.32935</v>
      </c>
      <c r="I45" s="152">
        <f t="shared" si="9"/>
        <v>3189.2192305</v>
      </c>
      <c r="J45" s="152">
        <f t="shared" si="9"/>
        <v>3284.895807415</v>
      </c>
      <c r="K45" s="152">
        <f t="shared" si="9"/>
        <v>3383.44268163745</v>
      </c>
      <c r="L45" s="90"/>
      <c r="M45" s="90"/>
      <c r="N45" s="90"/>
      <c r="O45" s="90"/>
      <c r="P45" s="90"/>
      <c r="Q45" s="90"/>
      <c r="R45" s="90"/>
      <c r="S45" s="90"/>
      <c r="T45" s="2"/>
      <c r="U45" s="2"/>
    </row>
    <row r="46" ht="13.5" customHeight="1" spans="1:33">
      <c r="A46" s="90"/>
      <c r="B46" s="100" t="s">
        <v>54</v>
      </c>
      <c r="C46" s="112"/>
      <c r="D46" s="172">
        <f t="shared" si="4"/>
        <v>14.7321428571429</v>
      </c>
      <c r="E46" s="173">
        <f>SUM('T12'!B14:M14)</f>
        <v>825</v>
      </c>
      <c r="F46" s="172">
        <f>SUM('T12'!N14:Y14)</f>
        <v>0</v>
      </c>
      <c r="G46" s="174">
        <f t="shared" si="5"/>
        <v>412.5</v>
      </c>
      <c r="H46" s="152">
        <f t="shared" ref="H46:K46" si="10">G46*1.03</f>
        <v>424.875</v>
      </c>
      <c r="I46" s="152">
        <f t="shared" si="10"/>
        <v>437.62125</v>
      </c>
      <c r="J46" s="152">
        <f t="shared" si="10"/>
        <v>450.7498875</v>
      </c>
      <c r="K46" s="152">
        <f t="shared" si="10"/>
        <v>464.272384125</v>
      </c>
      <c r="L46" s="90"/>
      <c r="M46" s="90"/>
      <c r="N46" s="90"/>
      <c r="O46" s="90"/>
      <c r="P46" s="90"/>
      <c r="Q46" s="90"/>
      <c r="R46" s="90"/>
      <c r="S46" s="90"/>
      <c r="T46" s="2"/>
      <c r="U46" s="2"/>
    </row>
    <row r="47" ht="13.5" customHeight="1" spans="1:33">
      <c r="A47" s="90"/>
      <c r="B47" s="100" t="s">
        <v>55</v>
      </c>
      <c r="C47" s="112"/>
      <c r="D47" s="172">
        <f t="shared" si="4"/>
        <v>23.2142857142857</v>
      </c>
      <c r="E47" s="173">
        <f>SUM('T12'!B15:M15)</f>
        <v>400</v>
      </c>
      <c r="F47" s="172">
        <f>SUM('T12'!N15:Y15)</f>
        <v>900</v>
      </c>
      <c r="G47" s="174">
        <f t="shared" si="5"/>
        <v>650</v>
      </c>
      <c r="H47" s="152">
        <f t="shared" ref="H47:K47" si="11">G47*1.03</f>
        <v>669.5</v>
      </c>
      <c r="I47" s="152">
        <f t="shared" si="11"/>
        <v>689.585</v>
      </c>
      <c r="J47" s="152">
        <f t="shared" si="11"/>
        <v>710.27255</v>
      </c>
      <c r="K47" s="152">
        <f t="shared" si="11"/>
        <v>731.5807265</v>
      </c>
      <c r="L47" s="90"/>
      <c r="M47" s="90"/>
      <c r="N47" s="90"/>
      <c r="O47" s="90"/>
      <c r="P47" s="90"/>
      <c r="Q47" s="90"/>
      <c r="R47" s="90"/>
      <c r="S47" s="90"/>
      <c r="T47" s="2"/>
      <c r="U47" s="2"/>
    </row>
    <row r="48" ht="13.5" customHeight="1" spans="1:33">
      <c r="A48" s="90"/>
      <c r="B48" s="100" t="s">
        <v>56</v>
      </c>
      <c r="C48" s="112"/>
      <c r="D48" s="172">
        <f t="shared" si="4"/>
        <v>75.0017857142857</v>
      </c>
      <c r="E48" s="173">
        <f>SUM('T12'!B16:M16)</f>
        <v>2745.83</v>
      </c>
      <c r="F48" s="172">
        <f>SUM('T12'!N16:Y16)</f>
        <v>1454.27</v>
      </c>
      <c r="G48" s="174">
        <f t="shared" si="5"/>
        <v>2100.05</v>
      </c>
      <c r="H48" s="152">
        <f t="shared" ref="H48:K48" si="12">G48*1.03</f>
        <v>2163.0515</v>
      </c>
      <c r="I48" s="152">
        <f t="shared" si="12"/>
        <v>2227.943045</v>
      </c>
      <c r="J48" s="152">
        <f t="shared" si="12"/>
        <v>2294.78133635</v>
      </c>
      <c r="K48" s="152">
        <f t="shared" si="12"/>
        <v>2363.6247764405</v>
      </c>
      <c r="L48" s="90"/>
      <c r="M48" s="90"/>
      <c r="N48" s="90"/>
      <c r="O48" s="90"/>
      <c r="P48" s="90"/>
      <c r="Q48" s="90"/>
      <c r="R48" s="90"/>
      <c r="S48" s="90"/>
      <c r="T48" s="2"/>
      <c r="U48" s="2"/>
    </row>
    <row r="49" ht="13.5" customHeight="1" spans="1:23">
      <c r="A49" s="90"/>
      <c r="B49" s="100" t="s">
        <v>57</v>
      </c>
      <c r="C49" s="112"/>
      <c r="D49" s="172">
        <f t="shared" si="4"/>
        <v>22.5294642857143</v>
      </c>
      <c r="E49" s="173">
        <f>SUM('T12'!B17:M17)</f>
        <v>608.46</v>
      </c>
      <c r="F49" s="172">
        <f>SUM('T12'!N17:Y17)</f>
        <v>653.19</v>
      </c>
      <c r="G49" s="174">
        <f t="shared" si="5"/>
        <v>630.825</v>
      </c>
      <c r="H49" s="152">
        <f t="shared" ref="H49:K49" si="13">G49*1.03</f>
        <v>649.74975</v>
      </c>
      <c r="I49" s="152">
        <f t="shared" si="13"/>
        <v>669.2422425</v>
      </c>
      <c r="J49" s="152">
        <f t="shared" si="13"/>
        <v>689.319509775</v>
      </c>
      <c r="K49" s="152">
        <f t="shared" si="13"/>
        <v>709.99909506825</v>
      </c>
      <c r="L49" s="90"/>
      <c r="M49" s="90"/>
      <c r="N49" s="90"/>
      <c r="O49" s="90"/>
      <c r="P49" s="90"/>
      <c r="Q49" s="90"/>
      <c r="R49" s="90"/>
      <c r="S49" s="90"/>
      <c r="T49" s="2"/>
      <c r="U49" s="2"/>
    </row>
    <row r="50" ht="13.5" customHeight="1" spans="1:23">
      <c r="A50" s="90"/>
      <c r="B50" s="100" t="s">
        <v>58</v>
      </c>
      <c r="C50" s="112"/>
      <c r="D50" s="172">
        <f t="shared" si="4"/>
        <v>6.29160714285714</v>
      </c>
      <c r="E50" s="173">
        <f>SUM('T12'!B18:M18)</f>
        <v>352.33</v>
      </c>
      <c r="F50" s="172">
        <f>SUM('T12'!N18:Y18)</f>
        <v>0</v>
      </c>
      <c r="G50" s="174">
        <f t="shared" si="5"/>
        <v>176.165</v>
      </c>
      <c r="H50" s="152">
        <f t="shared" ref="H50:K50" si="14">G50*1.03</f>
        <v>181.44995</v>
      </c>
      <c r="I50" s="152">
        <f t="shared" si="14"/>
        <v>186.8934485</v>
      </c>
      <c r="J50" s="152">
        <f t="shared" si="14"/>
        <v>192.500251955</v>
      </c>
      <c r="K50" s="152">
        <f t="shared" si="14"/>
        <v>198.27525951365</v>
      </c>
      <c r="L50" s="90"/>
      <c r="M50" s="90"/>
      <c r="N50" s="90"/>
      <c r="O50" s="90"/>
      <c r="P50" s="90"/>
      <c r="Q50" s="90"/>
      <c r="R50" s="90"/>
      <c r="S50" s="90"/>
      <c r="T50" s="2"/>
      <c r="U50" s="2"/>
    </row>
    <row r="51" ht="13.5" customHeight="1" spans="1:23">
      <c r="A51" s="90"/>
      <c r="B51" s="100" t="s">
        <v>59</v>
      </c>
      <c r="C51" s="112"/>
      <c r="D51" s="172">
        <f t="shared" si="4"/>
        <v>-129.948392857143</v>
      </c>
      <c r="E51" s="173">
        <f>SUM('T12'!B19:M19)</f>
        <v>-7277.11</v>
      </c>
      <c r="F51" s="172">
        <f>SUM('T12'!N19:Y19)</f>
        <v>0</v>
      </c>
      <c r="G51" s="174">
        <f t="shared" si="5"/>
        <v>-3638.555</v>
      </c>
      <c r="H51" s="152">
        <f t="shared" ref="H51:K51" si="15">G51*1.03</f>
        <v>-3747.71165</v>
      </c>
      <c r="I51" s="152">
        <f t="shared" si="15"/>
        <v>-3860.1429995</v>
      </c>
      <c r="J51" s="152">
        <f t="shared" si="15"/>
        <v>-3975.947289485</v>
      </c>
      <c r="K51" s="152">
        <f t="shared" si="15"/>
        <v>-4095.22570816955</v>
      </c>
      <c r="L51" s="90"/>
      <c r="M51" s="90"/>
      <c r="N51" s="90"/>
      <c r="O51" s="90"/>
      <c r="P51" s="90"/>
      <c r="Q51" s="90"/>
      <c r="R51" s="90"/>
      <c r="S51" s="90"/>
      <c r="T51" s="2"/>
      <c r="U51" s="2"/>
    </row>
    <row r="52" ht="13.5" customHeight="1" spans="1:23">
      <c r="A52" s="90"/>
      <c r="B52" s="175" t="s">
        <v>60</v>
      </c>
      <c r="C52" s="176"/>
      <c r="D52" s="176"/>
      <c r="E52" s="177">
        <f t="shared" ref="E52:K52" si="16">(SUM(E41:E51))</f>
        <v>541081.37</v>
      </c>
      <c r="F52" s="177">
        <f t="shared" si="16"/>
        <v>542778.28</v>
      </c>
      <c r="G52" s="178">
        <f t="shared" si="16"/>
        <v>603232.005</v>
      </c>
      <c r="H52" s="178">
        <f t="shared" si="16"/>
        <v>603400.96515</v>
      </c>
      <c r="I52" s="178">
        <f t="shared" si="16"/>
        <v>627478.9941045</v>
      </c>
      <c r="J52" s="178">
        <f t="shared" si="16"/>
        <v>652518.403927635</v>
      </c>
      <c r="K52" s="178">
        <f t="shared" si="16"/>
        <v>678557.597645464</v>
      </c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2"/>
      <c r="W52" s="2"/>
    </row>
    <row r="53" ht="13.5" customHeight="1" spans="1:23">
      <c r="A53" s="90"/>
      <c r="B53" s="97"/>
      <c r="C53" s="111"/>
      <c r="D53" s="179"/>
      <c r="E53" s="180"/>
      <c r="F53" s="140"/>
      <c r="G53" s="181"/>
      <c r="H53" s="181"/>
      <c r="I53" s="181"/>
      <c r="J53" s="181"/>
      <c r="K53" s="181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2"/>
      <c r="W53" s="2"/>
    </row>
    <row r="54" ht="13.5" customHeight="1" spans="1:23">
      <c r="A54" s="90"/>
      <c r="B54" s="170" t="s">
        <v>61</v>
      </c>
      <c r="C54" s="90" t="s">
        <v>47</v>
      </c>
      <c r="D54" s="171" t="s">
        <v>48</v>
      </c>
      <c r="E54" s="182" t="s">
        <v>39</v>
      </c>
      <c r="F54" s="90" t="s">
        <v>40</v>
      </c>
      <c r="G54" s="98" t="s">
        <v>41</v>
      </c>
      <c r="H54" s="98" t="s">
        <v>42</v>
      </c>
      <c r="I54" s="98" t="s">
        <v>43</v>
      </c>
      <c r="J54" s="98" t="s">
        <v>44</v>
      </c>
      <c r="K54" s="98" t="s">
        <v>45</v>
      </c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2"/>
      <c r="W54" s="2"/>
    </row>
    <row r="55" ht="13.5" customHeight="1" spans="1:23">
      <c r="A55" s="183"/>
      <c r="B55" s="100" t="s">
        <v>62</v>
      </c>
      <c r="C55" s="90"/>
      <c r="D55" s="172">
        <f t="shared" ref="D55:D90" si="17">G55/28</f>
        <v>77.4464285714286</v>
      </c>
      <c r="E55" s="184">
        <f>SUM('T12'!B31:M31)</f>
        <v>1475</v>
      </c>
      <c r="F55" s="172">
        <f>SUM('T12'!N31:Y31)</f>
        <v>2862</v>
      </c>
      <c r="G55" s="174">
        <f t="shared" ref="G55:G58" si="18">AVERAGE(E55:F55)</f>
        <v>2168.5</v>
      </c>
      <c r="H55" s="152">
        <f t="shared" ref="H55:K55" si="19">G55*1.03</f>
        <v>2233.555</v>
      </c>
      <c r="I55" s="152">
        <f t="shared" si="19"/>
        <v>2300.56165</v>
      </c>
      <c r="J55" s="152">
        <f t="shared" si="19"/>
        <v>2369.5784995</v>
      </c>
      <c r="K55" s="152">
        <f t="shared" si="19"/>
        <v>2440.665854485</v>
      </c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2"/>
      <c r="W55" s="2"/>
    </row>
    <row r="56" ht="13.5" customHeight="1" spans="1:23">
      <c r="A56" s="183"/>
      <c r="B56" s="100" t="s">
        <v>63</v>
      </c>
      <c r="C56" s="90"/>
      <c r="D56" s="172">
        <f t="shared" si="17"/>
        <v>1.60714285714286</v>
      </c>
      <c r="E56" s="184">
        <f>SUM('T12'!B32:M32)</f>
        <v>90</v>
      </c>
      <c r="F56" s="172">
        <f>SUM('T12'!N32:Y32)</f>
        <v>0</v>
      </c>
      <c r="G56" s="174">
        <f t="shared" si="18"/>
        <v>45</v>
      </c>
      <c r="H56" s="152">
        <f t="shared" ref="H56:K56" si="20">G56*1.03</f>
        <v>46.35</v>
      </c>
      <c r="I56" s="152">
        <f t="shared" si="20"/>
        <v>47.7405</v>
      </c>
      <c r="J56" s="152">
        <f t="shared" si="20"/>
        <v>49.172715</v>
      </c>
      <c r="K56" s="152">
        <f t="shared" si="20"/>
        <v>50.64789645</v>
      </c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2"/>
      <c r="W56" s="2"/>
    </row>
    <row r="57" ht="13.5" customHeight="1" spans="1:23">
      <c r="A57" s="183"/>
      <c r="B57" s="185" t="s">
        <v>64</v>
      </c>
      <c r="C57" s="90"/>
      <c r="D57" s="172">
        <f t="shared" si="17"/>
        <v>345.363571428571</v>
      </c>
      <c r="E57" s="184">
        <f>SUM('T12'!B33:M33)</f>
        <v>11475.02</v>
      </c>
      <c r="F57" s="172">
        <f>SUM('T12'!N33:Y33)</f>
        <v>7865.34</v>
      </c>
      <c r="G57" s="174">
        <f t="shared" si="18"/>
        <v>9670.18</v>
      </c>
      <c r="H57" s="152">
        <f t="shared" ref="H57:K57" si="21">G57*1.03</f>
        <v>9960.2854</v>
      </c>
      <c r="I57" s="152">
        <f t="shared" si="21"/>
        <v>10259.093962</v>
      </c>
      <c r="J57" s="152">
        <f t="shared" si="21"/>
        <v>10566.86678086</v>
      </c>
      <c r="K57" s="152">
        <f t="shared" si="21"/>
        <v>10883.8727842858</v>
      </c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2"/>
      <c r="W57" s="2"/>
    </row>
    <row r="58" ht="13.5" customHeight="1" spans="1:23">
      <c r="A58" s="183"/>
      <c r="B58" s="100" t="s">
        <v>65</v>
      </c>
      <c r="C58" s="90"/>
      <c r="D58" s="172">
        <f t="shared" si="17"/>
        <v>164.410714285714</v>
      </c>
      <c r="E58" s="184">
        <f>SUM('T12'!B34:M34)</f>
        <v>4482</v>
      </c>
      <c r="F58" s="172">
        <f>SUM('T12'!N34:Y34)</f>
        <v>4725</v>
      </c>
      <c r="G58" s="174">
        <f t="shared" si="18"/>
        <v>4603.5</v>
      </c>
      <c r="H58" s="152">
        <f t="shared" ref="H58:K58" si="22">G58*1.03</f>
        <v>4741.605</v>
      </c>
      <c r="I58" s="152">
        <f t="shared" si="22"/>
        <v>4883.85315</v>
      </c>
      <c r="J58" s="152">
        <f t="shared" si="22"/>
        <v>5030.3687445</v>
      </c>
      <c r="K58" s="152">
        <f t="shared" si="22"/>
        <v>5181.279806835</v>
      </c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2"/>
      <c r="W58" s="2"/>
    </row>
    <row r="59" ht="13.5" customHeight="1" spans="1:23">
      <c r="A59" s="183"/>
      <c r="B59" s="185" t="s">
        <v>66</v>
      </c>
      <c r="C59" s="90"/>
      <c r="D59" s="172">
        <f t="shared" si="17"/>
        <v>964.285714285714</v>
      </c>
      <c r="E59" s="184">
        <f>SUM('T12'!B37:M37)</f>
        <v>24205.82</v>
      </c>
      <c r="F59" s="172">
        <f>SUM('T12'!N37:Y37)</f>
        <v>43274.39</v>
      </c>
      <c r="G59" s="186">
        <v>27000</v>
      </c>
      <c r="H59" s="152">
        <f t="shared" ref="H59:K59" si="23">G59*1.03</f>
        <v>27810</v>
      </c>
      <c r="I59" s="152">
        <f t="shared" si="23"/>
        <v>28644.3</v>
      </c>
      <c r="J59" s="152">
        <f t="shared" si="23"/>
        <v>29503.629</v>
      </c>
      <c r="K59" s="152">
        <f t="shared" si="23"/>
        <v>30388.73787</v>
      </c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2"/>
      <c r="W59" s="2"/>
    </row>
    <row r="60" ht="13.5" customHeight="1" spans="1:23">
      <c r="A60" s="183"/>
      <c r="B60" s="100" t="s">
        <v>67</v>
      </c>
      <c r="C60" s="90"/>
      <c r="D60" s="172">
        <f t="shared" si="17"/>
        <v>0</v>
      </c>
      <c r="E60" s="184">
        <f>SUM('T12'!B38:M38)</f>
        <v>6911.76</v>
      </c>
      <c r="F60" s="172">
        <f>SUM('T12'!N38:Y38)</f>
        <v>-6911.76</v>
      </c>
      <c r="G60" s="174">
        <f t="shared" ref="G60:G68" si="24">AVERAGE(E60:F60)</f>
        <v>0</v>
      </c>
      <c r="H60" s="152">
        <f t="shared" ref="H60:K60" si="25">G60*1.03</f>
        <v>0</v>
      </c>
      <c r="I60" s="152">
        <f t="shared" si="25"/>
        <v>0</v>
      </c>
      <c r="J60" s="152">
        <f t="shared" si="25"/>
        <v>0</v>
      </c>
      <c r="K60" s="152">
        <f t="shared" si="25"/>
        <v>0</v>
      </c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2"/>
      <c r="W60" s="2"/>
    </row>
    <row r="61" ht="13.5" customHeight="1" spans="1:23">
      <c r="A61" s="183"/>
      <c r="B61" s="100" t="s">
        <v>68</v>
      </c>
      <c r="C61" s="90"/>
      <c r="D61" s="172">
        <f t="shared" si="17"/>
        <v>127.846607142857</v>
      </c>
      <c r="E61" s="184">
        <f>SUM('T12'!B41:M41)</f>
        <v>4030.41</v>
      </c>
      <c r="F61" s="172">
        <f>SUM('T12'!N41:Y41)</f>
        <v>3129</v>
      </c>
      <c r="G61" s="174">
        <f t="shared" si="24"/>
        <v>3579.705</v>
      </c>
      <c r="H61" s="152">
        <f t="shared" ref="H61:K61" si="26">G61*1.03</f>
        <v>3687.09615</v>
      </c>
      <c r="I61" s="152">
        <f t="shared" si="26"/>
        <v>3797.7090345</v>
      </c>
      <c r="J61" s="152">
        <f t="shared" si="26"/>
        <v>3911.640305535</v>
      </c>
      <c r="K61" s="152">
        <f t="shared" si="26"/>
        <v>4028.98951470105</v>
      </c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2"/>
      <c r="W61" s="2"/>
    </row>
    <row r="62" ht="13.5" customHeight="1" spans="1:23">
      <c r="A62" s="183"/>
      <c r="B62" s="100" t="s">
        <v>69</v>
      </c>
      <c r="C62" s="90"/>
      <c r="D62" s="172">
        <f t="shared" si="17"/>
        <v>19.2857142857143</v>
      </c>
      <c r="E62" s="184">
        <f>SUM('T12'!B42:M42)</f>
        <v>1080</v>
      </c>
      <c r="F62" s="172">
        <f>SUM('T12'!N42:Y42)</f>
        <v>0</v>
      </c>
      <c r="G62" s="174">
        <f t="shared" si="24"/>
        <v>540</v>
      </c>
      <c r="H62" s="152">
        <f t="shared" ref="H62:K62" si="27">G62*1.03</f>
        <v>556.2</v>
      </c>
      <c r="I62" s="152">
        <f t="shared" si="27"/>
        <v>572.886</v>
      </c>
      <c r="J62" s="152">
        <f t="shared" si="27"/>
        <v>590.07258</v>
      </c>
      <c r="K62" s="152">
        <f t="shared" si="27"/>
        <v>607.7747574</v>
      </c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2"/>
      <c r="W62" s="2"/>
    </row>
    <row r="63" ht="13.5" customHeight="1" spans="1:23">
      <c r="A63" s="183"/>
      <c r="B63" s="100" t="s">
        <v>70</v>
      </c>
      <c r="C63" s="90"/>
      <c r="D63" s="172">
        <f t="shared" si="17"/>
        <v>539.731071428571</v>
      </c>
      <c r="E63" s="184">
        <f>SUM('T12'!B45:M45)</f>
        <v>22157.13</v>
      </c>
      <c r="F63" s="172">
        <f>SUM('T12'!N45:Y45)</f>
        <v>8067.81</v>
      </c>
      <c r="G63" s="174">
        <f t="shared" si="24"/>
        <v>15112.47</v>
      </c>
      <c r="H63" s="152">
        <f t="shared" ref="H63:K63" si="28">G63*1.03</f>
        <v>15565.8441</v>
      </c>
      <c r="I63" s="152">
        <f t="shared" si="28"/>
        <v>16032.819423</v>
      </c>
      <c r="J63" s="152">
        <f t="shared" si="28"/>
        <v>16513.80400569</v>
      </c>
      <c r="K63" s="152">
        <f t="shared" si="28"/>
        <v>17009.2181258607</v>
      </c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2"/>
      <c r="W63" s="2"/>
    </row>
    <row r="64" ht="13.5" customHeight="1" spans="1:23">
      <c r="A64" s="183"/>
      <c r="B64" s="100" t="s">
        <v>71</v>
      </c>
      <c r="C64" s="90"/>
      <c r="D64" s="172">
        <f t="shared" si="17"/>
        <v>31.25</v>
      </c>
      <c r="E64" s="184">
        <f>SUM('T12'!B46:M46)</f>
        <v>1750</v>
      </c>
      <c r="F64" s="172">
        <f>SUM('T12'!N46:Y46)</f>
        <v>0</v>
      </c>
      <c r="G64" s="174">
        <f t="shared" si="24"/>
        <v>875</v>
      </c>
      <c r="H64" s="152">
        <f t="shared" ref="H64:K64" si="29">G64*1.03</f>
        <v>901.25</v>
      </c>
      <c r="I64" s="152">
        <f t="shared" si="29"/>
        <v>928.2875</v>
      </c>
      <c r="J64" s="152">
        <f t="shared" si="29"/>
        <v>956.136125</v>
      </c>
      <c r="K64" s="152">
        <f t="shared" si="29"/>
        <v>984.82020875</v>
      </c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2"/>
      <c r="W64" s="2"/>
    </row>
    <row r="65" ht="13.5" customHeight="1" spans="1:23">
      <c r="A65" s="183"/>
      <c r="B65" s="100" t="s">
        <v>72</v>
      </c>
      <c r="C65" s="90"/>
      <c r="D65" s="172">
        <f t="shared" si="17"/>
        <v>0</v>
      </c>
      <c r="E65" s="184">
        <f>SUM('T12'!B54:M54)</f>
        <v>0</v>
      </c>
      <c r="F65" s="172">
        <f>SUM('T12'!N54:Y54)</f>
        <v>0</v>
      </c>
      <c r="G65" s="174">
        <f t="shared" si="24"/>
        <v>0</v>
      </c>
      <c r="H65" s="152">
        <f t="shared" ref="H65:K65" si="30">G65*1.03</f>
        <v>0</v>
      </c>
      <c r="I65" s="152">
        <f t="shared" si="30"/>
        <v>0</v>
      </c>
      <c r="J65" s="152">
        <f t="shared" si="30"/>
        <v>0</v>
      </c>
      <c r="K65" s="152">
        <f t="shared" si="30"/>
        <v>0</v>
      </c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2"/>
      <c r="W65" s="2"/>
    </row>
    <row r="66" ht="13.5" customHeight="1" spans="1:23">
      <c r="A66" s="183"/>
      <c r="B66" s="100" t="s">
        <v>73</v>
      </c>
      <c r="C66" s="90"/>
      <c r="D66" s="172">
        <f t="shared" si="17"/>
        <v>102.760535714286</v>
      </c>
      <c r="E66" s="184">
        <f>SUM('T12'!B55:M55)</f>
        <v>1809.59</v>
      </c>
      <c r="F66" s="172">
        <f>SUM('T12'!N55:Y55)</f>
        <v>3945</v>
      </c>
      <c r="G66" s="174">
        <f t="shared" si="24"/>
        <v>2877.295</v>
      </c>
      <c r="H66" s="152">
        <f t="shared" ref="H66:K66" si="31">G66*1.03</f>
        <v>2963.61385</v>
      </c>
      <c r="I66" s="152">
        <f t="shared" si="31"/>
        <v>3052.5222655</v>
      </c>
      <c r="J66" s="152">
        <f t="shared" si="31"/>
        <v>3144.097933465</v>
      </c>
      <c r="K66" s="152">
        <f t="shared" si="31"/>
        <v>3238.42087146895</v>
      </c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2"/>
      <c r="W66" s="2"/>
    </row>
    <row r="67" ht="13.5" customHeight="1" spans="1:23">
      <c r="A67" s="183"/>
      <c r="B67" s="100" t="s">
        <v>74</v>
      </c>
      <c r="C67" s="90"/>
      <c r="D67" s="172">
        <f t="shared" si="17"/>
        <v>0</v>
      </c>
      <c r="E67" s="184">
        <f>SUM('T12'!B56:M56)</f>
        <v>0</v>
      </c>
      <c r="F67" s="172">
        <f>SUM('T12'!N56:Y56)</f>
        <v>0</v>
      </c>
      <c r="G67" s="174">
        <f t="shared" si="24"/>
        <v>0</v>
      </c>
      <c r="H67" s="152">
        <f t="shared" ref="H67:K67" si="32">G67*1.03</f>
        <v>0</v>
      </c>
      <c r="I67" s="152">
        <f t="shared" si="32"/>
        <v>0</v>
      </c>
      <c r="J67" s="152">
        <f t="shared" si="32"/>
        <v>0</v>
      </c>
      <c r="K67" s="152">
        <f t="shared" si="32"/>
        <v>0</v>
      </c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2"/>
      <c r="W67" s="2"/>
    </row>
    <row r="68" ht="13.5" customHeight="1" spans="1:23">
      <c r="A68" s="183"/>
      <c r="B68" s="100" t="s">
        <v>75</v>
      </c>
      <c r="C68" s="90"/>
      <c r="D68" s="172">
        <f t="shared" si="17"/>
        <v>224.006964285714</v>
      </c>
      <c r="E68" s="184">
        <f>SUM('T12'!B57:M57)</f>
        <v>6190.42</v>
      </c>
      <c r="F68" s="172">
        <f>SUM('T12'!N57:Y57)</f>
        <v>6353.97</v>
      </c>
      <c r="G68" s="174">
        <f t="shared" si="24"/>
        <v>6272.195</v>
      </c>
      <c r="H68" s="152">
        <f t="shared" ref="H68:K68" si="33">G68*1.03</f>
        <v>6460.36085</v>
      </c>
      <c r="I68" s="152">
        <f t="shared" si="33"/>
        <v>6654.1716755</v>
      </c>
      <c r="J68" s="152">
        <f t="shared" si="33"/>
        <v>6853.796825765</v>
      </c>
      <c r="K68" s="152">
        <f t="shared" si="33"/>
        <v>7059.41073053795</v>
      </c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2"/>
      <c r="W68" s="2"/>
    </row>
    <row r="69" ht="13.5" customHeight="1" spans="1:23">
      <c r="A69" s="183"/>
      <c r="B69" s="185" t="s">
        <v>76</v>
      </c>
      <c r="C69" s="90"/>
      <c r="D69" s="172">
        <f t="shared" si="17"/>
        <v>535.714285714286</v>
      </c>
      <c r="E69" s="184">
        <f>SUM('T12'!B58:M58)</f>
        <v>0</v>
      </c>
      <c r="F69" s="172">
        <f>SUM('T12'!N58:Y58)</f>
        <v>47100</v>
      </c>
      <c r="G69" s="186">
        <v>15000</v>
      </c>
      <c r="H69" s="152">
        <f t="shared" ref="H69:K69" si="34">G69*1.03</f>
        <v>15450</v>
      </c>
      <c r="I69" s="152">
        <f t="shared" si="34"/>
        <v>15913.5</v>
      </c>
      <c r="J69" s="152">
        <f t="shared" si="34"/>
        <v>16390.905</v>
      </c>
      <c r="K69" s="152">
        <f t="shared" si="34"/>
        <v>16882.63215</v>
      </c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2"/>
      <c r="W69" s="2"/>
    </row>
    <row r="70" ht="13.5" customHeight="1" spans="1:23">
      <c r="A70" s="183"/>
      <c r="B70" s="100" t="s">
        <v>77</v>
      </c>
      <c r="C70" s="90"/>
      <c r="D70" s="172">
        <f t="shared" si="17"/>
        <v>0</v>
      </c>
      <c r="E70" s="184">
        <f>SUM('T12'!B59:M59)</f>
        <v>0</v>
      </c>
      <c r="F70" s="172">
        <f>SUM('T12'!N59:Y59)</f>
        <v>0</v>
      </c>
      <c r="G70" s="174">
        <f>AVERAGE(E70:F70)</f>
        <v>0</v>
      </c>
      <c r="H70" s="152">
        <f t="shared" ref="H70:K70" si="35">G70*1.03</f>
        <v>0</v>
      </c>
      <c r="I70" s="152">
        <f t="shared" si="35"/>
        <v>0</v>
      </c>
      <c r="J70" s="152">
        <f t="shared" si="35"/>
        <v>0</v>
      </c>
      <c r="K70" s="152">
        <f t="shared" si="35"/>
        <v>0</v>
      </c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2"/>
      <c r="W70" s="2"/>
    </row>
    <row r="71" ht="13.5" customHeight="1" spans="1:23">
      <c r="A71" s="183"/>
      <c r="B71" s="187" t="s">
        <v>78</v>
      </c>
      <c r="C71" s="90"/>
      <c r="D71" s="172">
        <f t="shared" si="17"/>
        <v>21.4285714285714</v>
      </c>
      <c r="E71" s="184">
        <f>SUM('T12'!B60:M60)</f>
        <v>10353.4</v>
      </c>
      <c r="F71" s="172">
        <f>SUM('T12'!N60:Y60)</f>
        <v>2260.07</v>
      </c>
      <c r="G71" s="174">
        <v>600</v>
      </c>
      <c r="H71" s="152">
        <f t="shared" ref="H71:K71" si="36">G71*1.03</f>
        <v>618</v>
      </c>
      <c r="I71" s="152">
        <f t="shared" si="36"/>
        <v>636.54</v>
      </c>
      <c r="J71" s="152">
        <f t="shared" si="36"/>
        <v>655.6362</v>
      </c>
      <c r="K71" s="152">
        <f t="shared" si="36"/>
        <v>675.305286</v>
      </c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2"/>
      <c r="W71" s="2"/>
    </row>
    <row r="72" ht="13.5" customHeight="1" spans="1:23">
      <c r="A72" s="183"/>
      <c r="B72" s="100" t="s">
        <v>79</v>
      </c>
      <c r="C72" s="90"/>
      <c r="D72" s="172">
        <f t="shared" si="17"/>
        <v>145.892857142857</v>
      </c>
      <c r="E72" s="184">
        <f>SUM('T12'!B61:M61)</f>
        <v>3780</v>
      </c>
      <c r="F72" s="172">
        <f>SUM('T12'!N61:Y61)</f>
        <v>4390</v>
      </c>
      <c r="G72" s="174">
        <f t="shared" ref="G72:G85" si="37">AVERAGE(E72:F72)</f>
        <v>4085</v>
      </c>
      <c r="H72" s="152">
        <f t="shared" ref="H72:K72" si="38">G72*1.03</f>
        <v>4207.55</v>
      </c>
      <c r="I72" s="152">
        <f t="shared" si="38"/>
        <v>4333.7765</v>
      </c>
      <c r="J72" s="152">
        <f t="shared" si="38"/>
        <v>4463.789795</v>
      </c>
      <c r="K72" s="152">
        <f t="shared" si="38"/>
        <v>4597.70348885</v>
      </c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2"/>
      <c r="W72" s="2"/>
    </row>
    <row r="73" ht="13.5" customHeight="1" spans="1:23">
      <c r="A73" s="183"/>
      <c r="B73" s="185" t="s">
        <v>80</v>
      </c>
      <c r="C73" s="90"/>
      <c r="D73" s="172">
        <f t="shared" si="17"/>
        <v>371.611785714286</v>
      </c>
      <c r="E73" s="184">
        <f>SUM('T12'!B62:M62)</f>
        <v>12803.62</v>
      </c>
      <c r="F73" s="172">
        <f>SUM('T12'!N62:Y62)</f>
        <v>8006.64</v>
      </c>
      <c r="G73" s="174">
        <f t="shared" si="37"/>
        <v>10405.13</v>
      </c>
      <c r="H73" s="152">
        <f t="shared" ref="H73:K73" si="39">G73*1.03</f>
        <v>10717.2839</v>
      </c>
      <c r="I73" s="152">
        <f t="shared" si="39"/>
        <v>11038.802417</v>
      </c>
      <c r="J73" s="152">
        <f t="shared" si="39"/>
        <v>11369.96648951</v>
      </c>
      <c r="K73" s="152">
        <f t="shared" si="39"/>
        <v>11711.0654841953</v>
      </c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2"/>
      <c r="W73" s="2"/>
    </row>
    <row r="74" ht="13.5" customHeight="1" spans="1:23">
      <c r="A74" s="183"/>
      <c r="B74" s="100" t="s">
        <v>81</v>
      </c>
      <c r="C74" s="90"/>
      <c r="D74" s="172">
        <f t="shared" si="17"/>
        <v>18.4425</v>
      </c>
      <c r="E74" s="184">
        <f>SUM('T12'!B63:M63)</f>
        <v>0</v>
      </c>
      <c r="F74" s="172">
        <f>SUM('T12'!N63:Y63)</f>
        <v>1032.78</v>
      </c>
      <c r="G74" s="174">
        <f t="shared" si="37"/>
        <v>516.39</v>
      </c>
      <c r="H74" s="152">
        <f t="shared" ref="H74:K74" si="40">G74*1.03</f>
        <v>531.8817</v>
      </c>
      <c r="I74" s="152">
        <f t="shared" si="40"/>
        <v>547.838151</v>
      </c>
      <c r="J74" s="152">
        <f t="shared" si="40"/>
        <v>564.27329553</v>
      </c>
      <c r="K74" s="152">
        <f t="shared" si="40"/>
        <v>581.2014943959</v>
      </c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2"/>
      <c r="W74" s="2"/>
    </row>
    <row r="75" ht="13.5" customHeight="1" spans="1:23">
      <c r="A75" s="183"/>
      <c r="B75" s="100" t="s">
        <v>82</v>
      </c>
      <c r="C75" s="90"/>
      <c r="D75" s="172">
        <f t="shared" si="17"/>
        <v>10.9239285714286</v>
      </c>
      <c r="E75" s="184">
        <f>SUM('T12'!B64:M64)</f>
        <v>611.74</v>
      </c>
      <c r="F75" s="172">
        <f>SUM('T12'!N64:Y64)</f>
        <v>0</v>
      </c>
      <c r="G75" s="174">
        <f t="shared" si="37"/>
        <v>305.87</v>
      </c>
      <c r="H75" s="152">
        <f t="shared" ref="H75:K75" si="41">G75*1.03</f>
        <v>315.0461</v>
      </c>
      <c r="I75" s="152">
        <f t="shared" si="41"/>
        <v>324.497483</v>
      </c>
      <c r="J75" s="152">
        <f t="shared" si="41"/>
        <v>334.23240749</v>
      </c>
      <c r="K75" s="152">
        <f t="shared" si="41"/>
        <v>344.2593797147</v>
      </c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2"/>
      <c r="W75" s="2"/>
    </row>
    <row r="76" ht="13.5" customHeight="1" spans="1:23">
      <c r="A76" s="183"/>
      <c r="B76" s="100" t="s">
        <v>83</v>
      </c>
      <c r="C76" s="90"/>
      <c r="D76" s="172">
        <f t="shared" si="17"/>
        <v>68.8935714285714</v>
      </c>
      <c r="E76" s="184">
        <f>SUM('T12'!B65:M65)</f>
        <v>577.5</v>
      </c>
      <c r="F76" s="172">
        <f>SUM('T12'!N65:Y65)</f>
        <v>3280.54</v>
      </c>
      <c r="G76" s="174">
        <f t="shared" si="37"/>
        <v>1929.02</v>
      </c>
      <c r="H76" s="152">
        <f t="shared" ref="H76:K76" si="42">G76*1.03</f>
        <v>1986.8906</v>
      </c>
      <c r="I76" s="152">
        <f t="shared" si="42"/>
        <v>2046.497318</v>
      </c>
      <c r="J76" s="152">
        <f t="shared" si="42"/>
        <v>2107.89223754</v>
      </c>
      <c r="K76" s="152">
        <f t="shared" si="42"/>
        <v>2171.1290046662</v>
      </c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2"/>
      <c r="W76" s="2"/>
    </row>
    <row r="77" ht="13.5" customHeight="1" spans="1:23">
      <c r="A77" s="183"/>
      <c r="B77" s="100" t="s">
        <v>84</v>
      </c>
      <c r="C77" s="90"/>
      <c r="D77" s="172">
        <f t="shared" si="17"/>
        <v>59.6116071428571</v>
      </c>
      <c r="E77" s="184">
        <f>SUM('T12'!B66:M66)</f>
        <v>1820.95</v>
      </c>
      <c r="F77" s="172">
        <f>SUM('T12'!N66:Y66)</f>
        <v>1517.3</v>
      </c>
      <c r="G77" s="174">
        <f t="shared" si="37"/>
        <v>1669.125</v>
      </c>
      <c r="H77" s="152">
        <f t="shared" ref="H77:K77" si="43">G77*1.03</f>
        <v>1719.19875</v>
      </c>
      <c r="I77" s="152">
        <f t="shared" si="43"/>
        <v>1770.7747125</v>
      </c>
      <c r="J77" s="152">
        <f t="shared" si="43"/>
        <v>1823.897953875</v>
      </c>
      <c r="K77" s="152">
        <f t="shared" si="43"/>
        <v>1878.61489249125</v>
      </c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2"/>
      <c r="W77" s="2"/>
    </row>
    <row r="78" ht="13.5" customHeight="1" spans="1:23">
      <c r="A78" s="183"/>
      <c r="B78" s="100" t="s">
        <v>85</v>
      </c>
      <c r="C78" s="90"/>
      <c r="D78" s="172">
        <f t="shared" si="17"/>
        <v>1471.21857142857</v>
      </c>
      <c r="E78" s="184">
        <f>SUM('T12'!B69:M69)</f>
        <v>57156.06</v>
      </c>
      <c r="F78" s="172">
        <f>SUM('T12'!N69:Y69)</f>
        <v>25232.18</v>
      </c>
      <c r="G78" s="174">
        <f t="shared" si="37"/>
        <v>41194.12</v>
      </c>
      <c r="H78" s="152">
        <f t="shared" ref="H78:K78" si="44">G78*1.03</f>
        <v>42429.9436</v>
      </c>
      <c r="I78" s="152">
        <f t="shared" si="44"/>
        <v>43702.841908</v>
      </c>
      <c r="J78" s="152">
        <f t="shared" si="44"/>
        <v>45013.92716524</v>
      </c>
      <c r="K78" s="152">
        <f t="shared" si="44"/>
        <v>46364.3449801972</v>
      </c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2"/>
      <c r="W78" s="2"/>
    </row>
    <row r="79" ht="13.5" customHeight="1" spans="1:23">
      <c r="A79" s="183"/>
      <c r="B79" s="100" t="s">
        <v>86</v>
      </c>
      <c r="C79" s="90"/>
      <c r="D79" s="172">
        <f t="shared" si="17"/>
        <v>26.4285714285714</v>
      </c>
      <c r="E79" s="184">
        <f>SUM('T12'!B70:M70)</f>
        <v>1480</v>
      </c>
      <c r="F79" s="172">
        <f>SUM('T12'!N70:Y70)</f>
        <v>0</v>
      </c>
      <c r="G79" s="174">
        <f t="shared" si="37"/>
        <v>740</v>
      </c>
      <c r="H79" s="152">
        <f t="shared" ref="H79:K79" si="45">G79*1.03</f>
        <v>762.2</v>
      </c>
      <c r="I79" s="152">
        <f t="shared" si="45"/>
        <v>785.066</v>
      </c>
      <c r="J79" s="152">
        <f t="shared" si="45"/>
        <v>808.61798</v>
      </c>
      <c r="K79" s="152">
        <f t="shared" si="45"/>
        <v>832.8765194</v>
      </c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2"/>
      <c r="W79" s="2"/>
    </row>
    <row r="80" ht="13.5" customHeight="1" spans="1:23">
      <c r="A80" s="183"/>
      <c r="B80" s="100" t="s">
        <v>87</v>
      </c>
      <c r="C80" s="90"/>
      <c r="D80" s="172">
        <f t="shared" si="17"/>
        <v>188.428571428571</v>
      </c>
      <c r="E80" s="184">
        <f>SUM('T12'!B71:M71)</f>
        <v>4008</v>
      </c>
      <c r="F80" s="172">
        <f>SUM('T12'!N71:Y71)</f>
        <v>6544</v>
      </c>
      <c r="G80" s="174">
        <f t="shared" si="37"/>
        <v>5276</v>
      </c>
      <c r="H80" s="152">
        <f t="shared" ref="H80:K80" si="46">G80*1.03</f>
        <v>5434.28</v>
      </c>
      <c r="I80" s="152">
        <f t="shared" si="46"/>
        <v>5597.3084</v>
      </c>
      <c r="J80" s="152">
        <f t="shared" si="46"/>
        <v>5765.227652</v>
      </c>
      <c r="K80" s="152">
        <f t="shared" si="46"/>
        <v>5938.18448156</v>
      </c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2"/>
      <c r="W80" s="2"/>
    </row>
    <row r="81" ht="13.5" customHeight="1" spans="1:26">
      <c r="A81" s="183"/>
      <c r="B81" s="185" t="s">
        <v>88</v>
      </c>
      <c r="C81" s="90"/>
      <c r="D81" s="172">
        <f t="shared" si="17"/>
        <v>2350.49964285714</v>
      </c>
      <c r="E81" s="184">
        <f>SUM('T12'!B74:M74)</f>
        <v>61218.3</v>
      </c>
      <c r="F81" s="172">
        <f>SUM('T12'!N74:Y74)</f>
        <v>70409.68</v>
      </c>
      <c r="G81" s="174">
        <f t="shared" si="37"/>
        <v>65813.99</v>
      </c>
      <c r="H81" s="152">
        <f t="shared" ref="H81:K81" si="47">G81*1.03</f>
        <v>67788.4097</v>
      </c>
      <c r="I81" s="152">
        <f t="shared" si="47"/>
        <v>69822.061991</v>
      </c>
      <c r="J81" s="152">
        <f t="shared" si="47"/>
        <v>71916.72385073</v>
      </c>
      <c r="K81" s="152">
        <f t="shared" si="47"/>
        <v>74074.2255662519</v>
      </c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2"/>
      <c r="W81" s="2"/>
    </row>
    <row r="82" ht="13.5" customHeight="1" spans="1:26">
      <c r="A82" s="183"/>
      <c r="B82" s="100" t="s">
        <v>89</v>
      </c>
      <c r="C82" s="90"/>
      <c r="D82" s="172">
        <f t="shared" si="17"/>
        <v>304.72</v>
      </c>
      <c r="E82" s="184">
        <f>SUM('T12'!B75:M75)</f>
        <v>11746.71</v>
      </c>
      <c r="F82" s="172">
        <f>SUM('T12'!N75:Y75)</f>
        <v>5317.61</v>
      </c>
      <c r="G82" s="174">
        <f t="shared" si="37"/>
        <v>8532.16</v>
      </c>
      <c r="H82" s="152">
        <f t="shared" ref="H82:K82" si="48">G82*1.03</f>
        <v>8788.1248</v>
      </c>
      <c r="I82" s="152">
        <f t="shared" si="48"/>
        <v>9051.768544</v>
      </c>
      <c r="J82" s="152">
        <f t="shared" si="48"/>
        <v>9323.32160032</v>
      </c>
      <c r="K82" s="152">
        <f t="shared" si="48"/>
        <v>9603.0212483296</v>
      </c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2"/>
      <c r="W82" s="2"/>
    </row>
    <row r="83" ht="13.5" customHeight="1" spans="1:26">
      <c r="A83" s="183"/>
      <c r="B83" s="100" t="s">
        <v>90</v>
      </c>
      <c r="C83" s="90"/>
      <c r="D83" s="172">
        <f t="shared" si="17"/>
        <v>137.58375</v>
      </c>
      <c r="E83" s="184">
        <f>SUM('T12'!B76:M76)</f>
        <v>2223.26</v>
      </c>
      <c r="F83" s="172">
        <f>SUM('T12'!N76:Y76)</f>
        <v>5481.43</v>
      </c>
      <c r="G83" s="174">
        <f t="shared" si="37"/>
        <v>3852.345</v>
      </c>
      <c r="H83" s="152">
        <f t="shared" ref="H83:K83" si="49">G83*1.03</f>
        <v>3967.91535</v>
      </c>
      <c r="I83" s="152">
        <f t="shared" si="49"/>
        <v>4086.9528105</v>
      </c>
      <c r="J83" s="152">
        <f t="shared" si="49"/>
        <v>4209.561394815</v>
      </c>
      <c r="K83" s="152">
        <f t="shared" si="49"/>
        <v>4335.84823665945</v>
      </c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2"/>
      <c r="W83" s="2"/>
    </row>
    <row r="84" ht="13.5" customHeight="1" spans="1:26">
      <c r="A84" s="183"/>
      <c r="B84" s="100" t="s">
        <v>91</v>
      </c>
      <c r="C84" s="90"/>
      <c r="D84" s="172">
        <f t="shared" si="17"/>
        <v>311.150178571429</v>
      </c>
      <c r="E84" s="184">
        <f>SUM('T12'!B77:M77)</f>
        <v>10636.07</v>
      </c>
      <c r="F84" s="172">
        <f>SUM('T12'!N77:Y77)</f>
        <v>6788.34</v>
      </c>
      <c r="G84" s="174">
        <f t="shared" si="37"/>
        <v>8712.205</v>
      </c>
      <c r="H84" s="152">
        <f t="shared" ref="H84:K84" si="50">G84*1.03</f>
        <v>8973.57115</v>
      </c>
      <c r="I84" s="152">
        <f t="shared" si="50"/>
        <v>9242.7782845</v>
      </c>
      <c r="J84" s="152">
        <f t="shared" si="50"/>
        <v>9520.061633035</v>
      </c>
      <c r="K84" s="152">
        <f t="shared" si="50"/>
        <v>9805.66348202605</v>
      </c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2"/>
      <c r="W84" s="2"/>
    </row>
    <row r="85" ht="13.5" customHeight="1" spans="1:26">
      <c r="A85" s="183"/>
      <c r="B85" s="188" t="s">
        <v>92</v>
      </c>
      <c r="C85" s="189"/>
      <c r="D85" s="172">
        <f t="shared" si="17"/>
        <v>1.23125</v>
      </c>
      <c r="E85" s="184">
        <f>SUM('T12'!B80:M80)</f>
        <v>68.95</v>
      </c>
      <c r="F85" s="172">
        <f>SUM('T12'!N80:Y80)</f>
        <v>0</v>
      </c>
      <c r="G85" s="174">
        <f t="shared" si="37"/>
        <v>34.475</v>
      </c>
      <c r="H85" s="152">
        <f t="shared" ref="H85:K85" si="51">G85*1.03</f>
        <v>35.50925</v>
      </c>
      <c r="I85" s="152">
        <f t="shared" si="51"/>
        <v>36.5745275</v>
      </c>
      <c r="J85" s="152">
        <f t="shared" si="51"/>
        <v>37.671763325</v>
      </c>
      <c r="K85" s="152">
        <f t="shared" si="51"/>
        <v>38.80191622475</v>
      </c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2"/>
      <c r="W85" s="2"/>
    </row>
    <row r="86" ht="13.5" customHeight="1" spans="1:26">
      <c r="A86" s="183"/>
      <c r="B86" s="190" t="s">
        <v>93</v>
      </c>
      <c r="C86" s="189"/>
      <c r="D86" s="172">
        <f t="shared" si="17"/>
        <v>714.285714285714</v>
      </c>
      <c r="E86" s="184">
        <f>SUM('T12'!B81:M81)</f>
        <v>68200</v>
      </c>
      <c r="F86" s="172">
        <f>SUM('T12'!N81:Y81)</f>
        <v>-14300</v>
      </c>
      <c r="G86" s="186">
        <v>20000</v>
      </c>
      <c r="H86" s="152">
        <f t="shared" ref="H86:K86" si="52">G86*1.03</f>
        <v>20600</v>
      </c>
      <c r="I86" s="152">
        <f t="shared" si="52"/>
        <v>21218</v>
      </c>
      <c r="J86" s="152">
        <f t="shared" si="52"/>
        <v>21854.54</v>
      </c>
      <c r="K86" s="152">
        <f t="shared" si="52"/>
        <v>22510.1762</v>
      </c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2"/>
      <c r="W86" s="2"/>
    </row>
    <row r="87" ht="13.5" customHeight="1" spans="1:26">
      <c r="A87" s="183"/>
      <c r="B87" s="188" t="s">
        <v>94</v>
      </c>
      <c r="C87" s="189"/>
      <c r="D87" s="172">
        <f t="shared" si="17"/>
        <v>45.0044642857143</v>
      </c>
      <c r="E87" s="184">
        <f>SUM('T12'!B82:M82)</f>
        <v>2173.04</v>
      </c>
      <c r="F87" s="172">
        <f>SUM('T12'!N82:Y82)</f>
        <v>347.21</v>
      </c>
      <c r="G87" s="174">
        <f t="shared" ref="G87:G90" si="53">AVERAGE(E87:F87)</f>
        <v>1260.125</v>
      </c>
      <c r="H87" s="152">
        <f t="shared" ref="H87:K87" si="54">G87*1.03</f>
        <v>1297.92875</v>
      </c>
      <c r="I87" s="152">
        <f t="shared" si="54"/>
        <v>1336.8666125</v>
      </c>
      <c r="J87" s="152">
        <f t="shared" si="54"/>
        <v>1376.972610875</v>
      </c>
      <c r="K87" s="152">
        <f t="shared" si="54"/>
        <v>1418.28178920125</v>
      </c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2"/>
      <c r="W87" s="2"/>
    </row>
    <row r="88" ht="13.5" customHeight="1" spans="1:26">
      <c r="A88" s="191"/>
      <c r="B88" s="188" t="s">
        <v>95</v>
      </c>
      <c r="C88" s="189"/>
      <c r="D88" s="172">
        <f t="shared" si="17"/>
        <v>225.819107142857</v>
      </c>
      <c r="E88" s="184">
        <f>SUM('T12'!B85:M85)</f>
        <v>12645.87</v>
      </c>
      <c r="F88" s="172">
        <f>SUM('T12'!N85:Y85)</f>
        <v>0</v>
      </c>
      <c r="G88" s="174">
        <f t="shared" si="53"/>
        <v>6322.935</v>
      </c>
      <c r="H88" s="152">
        <f t="shared" ref="H88:K88" si="55">G88*1.03</f>
        <v>6512.62305</v>
      </c>
      <c r="I88" s="152">
        <f t="shared" si="55"/>
        <v>6708.0017415</v>
      </c>
      <c r="J88" s="152">
        <f t="shared" si="55"/>
        <v>6909.241793745</v>
      </c>
      <c r="K88" s="152">
        <f t="shared" si="55"/>
        <v>7116.51904755735</v>
      </c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2"/>
      <c r="W88" s="2"/>
    </row>
    <row r="89" ht="13.5" customHeight="1" spans="1:26">
      <c r="A89" s="191"/>
      <c r="B89" s="188" t="s">
        <v>96</v>
      </c>
      <c r="C89" s="189"/>
      <c r="D89" s="172">
        <f t="shared" si="17"/>
        <v>21.79875</v>
      </c>
      <c r="E89" s="184">
        <f>SUM('T12'!B86:M86)</f>
        <v>1220.73</v>
      </c>
      <c r="F89" s="172">
        <f>SUM('T12'!N86:Y86)</f>
        <v>0</v>
      </c>
      <c r="G89" s="174">
        <f t="shared" si="53"/>
        <v>610.365</v>
      </c>
      <c r="H89" s="152">
        <f t="shared" ref="H89:K89" si="56">G89*1.03</f>
        <v>628.67595</v>
      </c>
      <c r="I89" s="152">
        <f t="shared" si="56"/>
        <v>647.5362285</v>
      </c>
      <c r="J89" s="152">
        <f t="shared" si="56"/>
        <v>666.962315355</v>
      </c>
      <c r="K89" s="152">
        <f t="shared" si="56"/>
        <v>686.97118481565</v>
      </c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2"/>
      <c r="W89" s="2"/>
    </row>
    <row r="90" ht="13.5" customHeight="1" spans="1:26">
      <c r="A90" s="183"/>
      <c r="B90" s="188" t="s">
        <v>97</v>
      </c>
      <c r="C90" s="189"/>
      <c r="D90" s="172">
        <f t="shared" si="17"/>
        <v>60.5357142857143</v>
      </c>
      <c r="E90" s="184">
        <f>SUM('T12'!B89:M89)</f>
        <v>1790</v>
      </c>
      <c r="F90" s="172">
        <f>SUM('T12'!N89:Y89)</f>
        <v>1600</v>
      </c>
      <c r="G90" s="174">
        <f t="shared" si="53"/>
        <v>1695</v>
      </c>
      <c r="H90" s="152">
        <f t="shared" ref="H90:K90" si="57">G90*1.03</f>
        <v>1745.85</v>
      </c>
      <c r="I90" s="152">
        <f t="shared" si="57"/>
        <v>1798.2255</v>
      </c>
      <c r="J90" s="152">
        <f t="shared" si="57"/>
        <v>1852.172265</v>
      </c>
      <c r="K90" s="152">
        <f t="shared" si="57"/>
        <v>1907.73743295</v>
      </c>
      <c r="L90" s="90"/>
      <c r="M90" s="90"/>
      <c r="N90" s="90"/>
      <c r="O90" s="90"/>
      <c r="P90" s="90"/>
      <c r="Q90" s="192"/>
      <c r="R90" s="90"/>
      <c r="S90" s="90"/>
      <c r="T90" s="90"/>
      <c r="U90" s="90"/>
      <c r="V90" s="2"/>
      <c r="W90" s="2"/>
    </row>
    <row r="91" ht="13.5" customHeight="1" spans="1:26">
      <c r="A91" s="90"/>
      <c r="B91" s="193" t="s">
        <v>98</v>
      </c>
      <c r="C91" s="194"/>
      <c r="D91" s="194"/>
      <c r="E91" s="195">
        <f t="shared" ref="E91:K91" si="58">SUM(E55:E90)</f>
        <v>350171.35</v>
      </c>
      <c r="F91" s="195">
        <f t="shared" si="58"/>
        <v>248318.53</v>
      </c>
      <c r="G91" s="195">
        <f t="shared" si="58"/>
        <v>271298.1</v>
      </c>
      <c r="H91" s="195">
        <f t="shared" si="58"/>
        <v>279437.043</v>
      </c>
      <c r="I91" s="195">
        <f t="shared" si="58"/>
        <v>287820.15429</v>
      </c>
      <c r="J91" s="195">
        <f t="shared" si="58"/>
        <v>296454.7589187</v>
      </c>
      <c r="K91" s="195">
        <f t="shared" si="58"/>
        <v>305348.401686261</v>
      </c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</row>
    <row r="92" ht="13.5" customHeight="1" spans="1:26">
      <c r="A92" s="90"/>
      <c r="B92" s="196" t="s">
        <v>99</v>
      </c>
      <c r="C92" s="90"/>
      <c r="D92" s="90"/>
      <c r="E92" s="197">
        <f t="shared" ref="E92:K92" si="59">E91/E52</f>
        <v>0.647169482105806</v>
      </c>
      <c r="F92" s="198">
        <f t="shared" si="59"/>
        <v>0.457495333085178</v>
      </c>
      <c r="G92" s="199">
        <f t="shared" si="59"/>
        <v>0.44974089198069</v>
      </c>
      <c r="H92" s="199">
        <f t="shared" si="59"/>
        <v>0.463103407417544</v>
      </c>
      <c r="I92" s="199">
        <f t="shared" si="59"/>
        <v>0.458692891705099</v>
      </c>
      <c r="J92" s="199">
        <f t="shared" si="59"/>
        <v>0.454323980954838</v>
      </c>
      <c r="K92" s="199">
        <f t="shared" si="59"/>
        <v>0.449996290286622</v>
      </c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2"/>
      <c r="W92" s="2"/>
    </row>
    <row r="93" ht="13.5" customHeight="1" spans="1:26">
      <c r="A93" s="90"/>
      <c r="B93" s="196"/>
      <c r="C93" s="90"/>
      <c r="D93" s="90"/>
      <c r="E93" s="197"/>
      <c r="F93" s="200"/>
      <c r="G93" s="152"/>
      <c r="H93" s="152"/>
      <c r="I93" s="152"/>
      <c r="J93" s="152"/>
      <c r="K93" s="152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2"/>
      <c r="W93" s="2"/>
    </row>
    <row r="94" ht="13.5" customHeight="1" spans="1:26">
      <c r="A94" s="90"/>
      <c r="B94" s="201" t="s">
        <v>100</v>
      </c>
      <c r="C94" s="202"/>
      <c r="D94" s="202"/>
      <c r="E94" s="203">
        <f t="shared" ref="E94:K94" si="60">E52-E91</f>
        <v>190910.02</v>
      </c>
      <c r="F94" s="203">
        <f t="shared" si="60"/>
        <v>294459.75</v>
      </c>
      <c r="G94" s="195">
        <f t="shared" si="60"/>
        <v>331933.905</v>
      </c>
      <c r="H94" s="195">
        <f t="shared" si="60"/>
        <v>323963.92215</v>
      </c>
      <c r="I94" s="195">
        <f t="shared" si="60"/>
        <v>339658.8398145</v>
      </c>
      <c r="J94" s="195">
        <f t="shared" si="60"/>
        <v>356063.645008935</v>
      </c>
      <c r="K94" s="195">
        <f t="shared" si="60"/>
        <v>373209.195959203</v>
      </c>
      <c r="L94" s="90"/>
      <c r="M94" s="90"/>
      <c r="N94" s="90"/>
      <c r="O94" s="90"/>
      <c r="P94" s="90"/>
      <c r="Q94" s="200"/>
      <c r="R94" s="200"/>
      <c r="S94" s="200"/>
      <c r="T94" s="200"/>
      <c r="U94" s="200"/>
      <c r="V94" s="200"/>
      <c r="W94" s="200"/>
      <c r="X94" s="200"/>
      <c r="Y94" s="200"/>
      <c r="Z94" s="200"/>
    </row>
    <row r="95" ht="13.5" customHeight="1" spans="1:26">
      <c r="A95" s="90"/>
      <c r="B95" s="204"/>
      <c r="C95" s="205"/>
      <c r="D95" s="205"/>
      <c r="E95" s="206"/>
      <c r="F95" s="207"/>
      <c r="G95" s="208"/>
      <c r="H95" s="208"/>
      <c r="I95" s="208"/>
      <c r="J95" s="208"/>
      <c r="K95" s="208"/>
      <c r="L95" s="90"/>
      <c r="M95" s="90"/>
      <c r="N95" s="90"/>
      <c r="O95" s="90"/>
      <c r="P95" s="90"/>
      <c r="Q95" s="200"/>
      <c r="R95" s="200"/>
      <c r="S95" s="200"/>
      <c r="T95" s="200"/>
      <c r="U95" s="200"/>
      <c r="V95" s="200"/>
      <c r="W95" s="200"/>
      <c r="X95" s="200"/>
      <c r="Y95" s="200"/>
      <c r="Z95" s="200"/>
    </row>
    <row r="96" ht="13.5" customHeight="1" spans="1:26">
      <c r="A96" s="90"/>
      <c r="B96" s="209" t="s">
        <v>101</v>
      </c>
      <c r="C96" s="210"/>
      <c r="D96" s="210"/>
      <c r="E96" s="211">
        <f>SUM('T12'!B110:M110)</f>
        <v>-17782.52</v>
      </c>
      <c r="F96" s="211">
        <f>SUM('T12'!L110:Y110)</f>
        <v>2529.81</v>
      </c>
      <c r="G96" s="212">
        <f>F96*1.03</f>
        <v>2605.7043</v>
      </c>
      <c r="H96" s="212"/>
      <c r="I96" s="212"/>
      <c r="J96" s="212"/>
      <c r="K96" s="212"/>
      <c r="L96" s="90"/>
      <c r="M96" s="90"/>
      <c r="N96" s="90"/>
      <c r="O96" s="90"/>
      <c r="P96" s="90"/>
      <c r="Q96" s="200"/>
      <c r="R96" s="200"/>
      <c r="S96" s="200"/>
      <c r="T96" s="200"/>
      <c r="U96" s="200"/>
      <c r="V96" s="200"/>
      <c r="W96" s="200"/>
      <c r="X96" s="200"/>
      <c r="Y96" s="200"/>
      <c r="Z96" s="200"/>
    </row>
    <row r="97" ht="13.5" customHeight="1" spans="1:33">
      <c r="A97" s="90"/>
      <c r="B97" s="213" t="s">
        <v>102</v>
      </c>
      <c r="C97" s="214"/>
      <c r="D97" s="214"/>
      <c r="E97" s="215">
        <f>'Debt Current'!$I$22</f>
        <v>219343.984812481</v>
      </c>
      <c r="F97" s="215">
        <f>'Debt Current'!$I$22</f>
        <v>219343.984812481</v>
      </c>
      <c r="G97" s="215">
        <f>'Debt Current'!$I$22</f>
        <v>219343.984812481</v>
      </c>
      <c r="H97" s="216">
        <f>'Debt Refinance'!$I$23</f>
        <v>217947.755547637</v>
      </c>
      <c r="I97" s="216">
        <f>'Debt Refinance'!$I$23</f>
        <v>217947.755547637</v>
      </c>
      <c r="J97" s="216">
        <f>'Debt Refinance'!$I$23</f>
        <v>217947.755547637</v>
      </c>
      <c r="K97" s="216">
        <f>'Debt Refinance'!$I$23</f>
        <v>217947.755547637</v>
      </c>
      <c r="L97" s="90"/>
      <c r="M97" s="90"/>
      <c r="N97" s="90"/>
      <c r="O97" s="90"/>
      <c r="P97" s="90"/>
      <c r="Q97" s="200"/>
      <c r="R97" s="200"/>
      <c r="S97" s="200"/>
      <c r="T97" s="200"/>
      <c r="U97" s="200"/>
      <c r="V97" s="200"/>
      <c r="W97" s="200"/>
      <c r="X97" s="200"/>
      <c r="Y97" s="200"/>
      <c r="Z97" s="200"/>
    </row>
    <row r="98" ht="13.5" customHeight="1" spans="1:33">
      <c r="A98" s="90"/>
      <c r="B98" s="100"/>
      <c r="C98" s="90"/>
      <c r="D98" s="90"/>
      <c r="E98" s="169"/>
      <c r="F98" s="90"/>
      <c r="G98" s="98"/>
      <c r="H98" s="98"/>
      <c r="I98" s="98"/>
      <c r="J98" s="98"/>
      <c r="K98" s="98"/>
      <c r="L98" s="90"/>
      <c r="M98" s="90"/>
      <c r="N98" s="90"/>
      <c r="O98" s="90"/>
      <c r="P98" s="90"/>
      <c r="Q98" s="200"/>
      <c r="R98" s="200"/>
      <c r="S98" s="200"/>
      <c r="T98" s="200"/>
      <c r="U98" s="200"/>
      <c r="V98" s="200"/>
      <c r="W98" s="200"/>
      <c r="X98" s="200"/>
      <c r="Y98" s="200"/>
      <c r="Z98" s="200"/>
    </row>
    <row r="99" ht="16.5" customHeight="1" spans="1:33">
      <c r="A99" s="90"/>
      <c r="B99" s="217" t="s">
        <v>103</v>
      </c>
      <c r="C99" s="90"/>
      <c r="D99" s="90"/>
      <c r="E99" s="172"/>
      <c r="F99" s="200"/>
      <c r="G99" s="98"/>
      <c r="H99" s="98"/>
      <c r="I99" s="98"/>
      <c r="J99" s="98"/>
      <c r="K99" s="98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2"/>
      <c r="W99" s="2"/>
    </row>
    <row r="100" ht="14.25" spans="1:33">
      <c r="A100" s="90"/>
      <c r="B100" s="100"/>
      <c r="C100" s="90"/>
      <c r="D100" s="90"/>
      <c r="E100" s="169"/>
      <c r="F100" s="90"/>
      <c r="G100" s="98"/>
      <c r="H100" s="98"/>
      <c r="I100" s="98"/>
      <c r="J100" s="98"/>
      <c r="K100" s="98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2"/>
      <c r="W100" s="2"/>
    </row>
    <row r="101" spans="1:33">
      <c r="A101" s="90"/>
      <c r="B101" s="218" t="s">
        <v>104</v>
      </c>
      <c r="C101" s="219"/>
      <c r="D101" s="219"/>
      <c r="E101" s="220">
        <f t="shared" ref="E101:G101" si="61">E94-E96-E97</f>
        <v>-10651.444812481</v>
      </c>
      <c r="F101" s="220">
        <f t="shared" si="61"/>
        <v>72585.955187519</v>
      </c>
      <c r="G101" s="220">
        <f t="shared" si="61"/>
        <v>109984.215887519</v>
      </c>
      <c r="H101" s="221">
        <f t="shared" ref="H101:K101" si="62">H94-H97</f>
        <v>106016.166602363</v>
      </c>
      <c r="I101" s="221">
        <f t="shared" si="62"/>
        <v>121711.084266862</v>
      </c>
      <c r="J101" s="221">
        <f t="shared" si="62"/>
        <v>138115.889461298</v>
      </c>
      <c r="K101" s="221">
        <f t="shared" si="62"/>
        <v>155261.440411566</v>
      </c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2"/>
      <c r="W101" s="2"/>
    </row>
    <row r="102" ht="13.5" customHeight="1" spans="1:33">
      <c r="A102" s="90"/>
      <c r="B102" s="97"/>
      <c r="C102" s="111"/>
      <c r="D102" s="111"/>
      <c r="E102" s="222"/>
      <c r="F102" s="140"/>
      <c r="G102" s="181"/>
      <c r="H102" s="181"/>
      <c r="I102" s="181"/>
      <c r="J102" s="181"/>
      <c r="K102" s="181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2"/>
      <c r="W102" s="2"/>
    </row>
    <row r="103" ht="13.5" customHeight="1" spans="1:33">
      <c r="A103" s="90"/>
      <c r="B103" s="97" t="s">
        <v>105</v>
      </c>
      <c r="C103" s="111"/>
      <c r="D103" s="111"/>
      <c r="E103" s="222"/>
      <c r="F103" s="200"/>
      <c r="G103" s="181"/>
      <c r="H103" s="181"/>
      <c r="I103" s="181"/>
      <c r="J103" s="181"/>
      <c r="K103" s="181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2"/>
      <c r="W103" s="2"/>
    </row>
    <row r="104" spans="1:33">
      <c r="A104" s="90"/>
      <c r="B104" s="223" t="s">
        <v>106</v>
      </c>
      <c r="C104" s="224"/>
      <c r="D104" s="224"/>
      <c r="E104" s="225"/>
      <c r="F104" s="226"/>
      <c r="G104" s="227"/>
      <c r="H104" s="227"/>
      <c r="I104" s="227"/>
      <c r="J104" s="227"/>
      <c r="K104" s="227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2"/>
      <c r="W104" s="2"/>
    </row>
    <row r="105" spans="1:33">
      <c r="A105" s="228"/>
      <c r="B105" s="229" t="s">
        <v>107</v>
      </c>
      <c r="C105" s="230"/>
      <c r="D105" s="230"/>
      <c r="E105" s="231"/>
      <c r="F105" s="231"/>
      <c r="G105" s="232"/>
      <c r="H105" s="232">
        <f t="shared" ref="H105:K105" si="63">H94/(H97)</f>
        <v>1.48642926528872</v>
      </c>
      <c r="I105" s="232">
        <f t="shared" si="63"/>
        <v>1.55844155844156</v>
      </c>
      <c r="J105" s="232">
        <f t="shared" si="63"/>
        <v>1.63371099699675</v>
      </c>
      <c r="K105" s="232">
        <f t="shared" si="63"/>
        <v>1.71237916638068</v>
      </c>
      <c r="L105" s="90"/>
      <c r="M105" s="90"/>
      <c r="N105" s="90"/>
      <c r="O105" s="90"/>
      <c r="P105" s="90"/>
      <c r="Q105" s="228"/>
      <c r="R105" s="228"/>
      <c r="S105" s="228"/>
      <c r="T105" s="228"/>
      <c r="U105" s="228"/>
      <c r="V105" s="233"/>
      <c r="W105" s="233"/>
      <c r="X105" s="233"/>
      <c r="Y105" s="233"/>
      <c r="Z105" s="233"/>
      <c r="AA105" s="233"/>
      <c r="AB105" s="233"/>
      <c r="AC105" s="233"/>
      <c r="AD105" s="233"/>
      <c r="AE105" s="233"/>
      <c r="AF105" s="233"/>
      <c r="AG105" s="233"/>
    </row>
    <row r="106" ht="13.5" customHeight="1" spans="1:33">
      <c r="A106" s="90"/>
      <c r="B106" s="90"/>
      <c r="C106" s="90"/>
      <c r="D106" s="90"/>
      <c r="E106" s="90"/>
      <c r="F106" s="90"/>
      <c r="G106" s="20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2"/>
      <c r="W106" s="2"/>
    </row>
    <row r="107" customHeight="1" spans="1:33">
      <c r="A107" s="90"/>
      <c r="B107" s="234" t="s">
        <v>108</v>
      </c>
      <c r="C107" s="143"/>
      <c r="D107" s="235"/>
      <c r="E107" s="236"/>
      <c r="F107" s="90"/>
      <c r="G107" s="234" t="s">
        <v>109</v>
      </c>
      <c r="H107" s="143"/>
      <c r="I107" s="144"/>
      <c r="J107" s="90"/>
      <c r="K107" s="237" t="s">
        <v>110</v>
      </c>
      <c r="L107" s="238"/>
      <c r="M107" s="238"/>
      <c r="N107" s="238"/>
      <c r="O107" s="239"/>
      <c r="P107" s="90"/>
      <c r="Q107" s="240" t="s">
        <v>111</v>
      </c>
      <c r="R107" s="241"/>
      <c r="S107" s="241"/>
      <c r="T107" s="241"/>
      <c r="U107" s="242"/>
      <c r="V107" s="2"/>
      <c r="W107" s="2"/>
    </row>
    <row r="108" customHeight="1" spans="1:33">
      <c r="A108" s="90"/>
      <c r="B108" s="100"/>
      <c r="C108" s="90"/>
      <c r="D108" s="243"/>
      <c r="E108" s="244"/>
      <c r="F108" s="90"/>
      <c r="G108" s="100"/>
      <c r="H108" s="90"/>
      <c r="I108" s="98"/>
      <c r="J108" s="90"/>
      <c r="K108" s="100"/>
      <c r="L108" s="90"/>
      <c r="M108" s="90"/>
      <c r="N108" s="90"/>
      <c r="O108" s="98"/>
      <c r="P108" s="90"/>
      <c r="Q108" s="245"/>
      <c r="R108" s="246"/>
      <c r="S108" s="246"/>
      <c r="T108" s="246"/>
      <c r="U108" s="247"/>
      <c r="V108" s="2"/>
      <c r="W108" s="2"/>
    </row>
    <row r="109" customHeight="1" spans="1:33">
      <c r="A109" s="90"/>
      <c r="B109" s="100" t="s">
        <v>112</v>
      </c>
      <c r="C109" s="90" t="s">
        <v>113</v>
      </c>
      <c r="D109" s="248"/>
      <c r="E109" s="244"/>
      <c r="F109" s="90"/>
      <c r="G109" s="100" t="s">
        <v>114</v>
      </c>
      <c r="H109" s="90"/>
      <c r="I109" s="249">
        <v>6200000</v>
      </c>
      <c r="J109" s="90"/>
      <c r="K109" s="100" t="s">
        <v>115</v>
      </c>
      <c r="L109" s="90"/>
      <c r="M109" s="90"/>
      <c r="N109" s="90"/>
      <c r="O109" s="250">
        <v>2026</v>
      </c>
      <c r="P109" s="90"/>
      <c r="Q109" s="245" t="s">
        <v>115</v>
      </c>
      <c r="R109" s="246"/>
      <c r="S109" s="246"/>
      <c r="T109" s="246"/>
      <c r="U109" s="251">
        <v>2030</v>
      </c>
      <c r="V109" s="2"/>
      <c r="W109" s="2"/>
    </row>
    <row r="110" customHeight="1" spans="1:33">
      <c r="A110" s="90"/>
      <c r="B110" s="100" t="s">
        <v>116</v>
      </c>
      <c r="C110" s="90"/>
      <c r="D110" s="243"/>
      <c r="E110" s="252">
        <v>10000</v>
      </c>
      <c r="F110" s="90"/>
      <c r="G110" s="100" t="s">
        <v>117</v>
      </c>
      <c r="H110" s="90"/>
      <c r="I110" s="249">
        <f>I109/D13</f>
        <v>221428.571428571</v>
      </c>
      <c r="J110" s="90"/>
      <c r="K110" s="100" t="s">
        <v>118</v>
      </c>
      <c r="L110" s="90"/>
      <c r="M110" s="90"/>
      <c r="N110" s="90"/>
      <c r="O110" s="253">
        <v>11232</v>
      </c>
      <c r="P110" s="90"/>
      <c r="Q110" s="245" t="s">
        <v>118</v>
      </c>
      <c r="R110" s="246"/>
      <c r="S110" s="246"/>
      <c r="T110" s="246"/>
      <c r="U110" s="253">
        <v>11232</v>
      </c>
      <c r="V110" s="2"/>
      <c r="W110" s="2"/>
    </row>
    <row r="111" customHeight="1" spans="1:33">
      <c r="A111" s="90"/>
      <c r="B111" s="100" t="s">
        <v>119</v>
      </c>
      <c r="C111" s="90">
        <v>6000</v>
      </c>
      <c r="D111" s="243"/>
      <c r="E111" s="254">
        <v>540</v>
      </c>
      <c r="F111" s="90"/>
      <c r="G111" s="100" t="s">
        <v>120</v>
      </c>
      <c r="H111" s="90"/>
      <c r="I111" s="249">
        <f>H94</f>
        <v>323963.92215</v>
      </c>
      <c r="J111" s="90"/>
      <c r="K111" s="100" t="s">
        <v>121</v>
      </c>
      <c r="L111" s="90"/>
      <c r="M111" s="90"/>
      <c r="N111" s="90"/>
      <c r="O111" s="249">
        <f>G94</f>
        <v>331933.905</v>
      </c>
      <c r="P111" s="90"/>
      <c r="Q111" s="245" t="s">
        <v>121</v>
      </c>
      <c r="R111" s="246"/>
      <c r="S111" s="246"/>
      <c r="T111" s="246"/>
      <c r="U111" s="255">
        <f>K94</f>
        <v>373209.195959203</v>
      </c>
      <c r="V111" s="2"/>
      <c r="W111" s="2"/>
    </row>
    <row r="112" customHeight="1" spans="1:33">
      <c r="A112" s="90"/>
      <c r="B112" s="100" t="s">
        <v>122</v>
      </c>
      <c r="C112" s="90">
        <v>55000</v>
      </c>
      <c r="D112" s="243"/>
      <c r="E112" s="254">
        <v>5000</v>
      </c>
      <c r="F112" s="90"/>
      <c r="G112" s="100" t="s">
        <v>123</v>
      </c>
      <c r="H112" s="90"/>
      <c r="I112" s="256">
        <f>(I111/I109)</f>
        <v>0.0522522455080645</v>
      </c>
      <c r="J112" s="90"/>
      <c r="K112" s="100" t="s">
        <v>124</v>
      </c>
      <c r="L112" s="90"/>
      <c r="M112" s="90"/>
      <c r="N112" s="90"/>
      <c r="O112" s="257">
        <v>0.055</v>
      </c>
      <c r="P112" s="90"/>
      <c r="Q112" s="245" t="s">
        <v>124</v>
      </c>
      <c r="R112" s="246"/>
      <c r="S112" s="246"/>
      <c r="T112" s="246"/>
      <c r="U112" s="257">
        <v>0.0575</v>
      </c>
      <c r="V112" s="2"/>
      <c r="W112" s="2" t="s">
        <v>125</v>
      </c>
    </row>
    <row r="113" customHeight="1" spans="1:24">
      <c r="A113" s="90"/>
      <c r="B113" s="100" t="s">
        <v>126</v>
      </c>
      <c r="C113" s="90">
        <v>5000</v>
      </c>
      <c r="D113" s="243"/>
      <c r="E113" s="254">
        <v>500</v>
      </c>
      <c r="F113" s="90"/>
      <c r="G113" s="100" t="s">
        <v>127</v>
      </c>
      <c r="H113" s="90"/>
      <c r="I113" s="258">
        <f>I114/I109</f>
        <v>0.0765678088137137</v>
      </c>
      <c r="J113" s="90"/>
      <c r="K113" s="100" t="s">
        <v>128</v>
      </c>
      <c r="L113" s="90"/>
      <c r="M113" s="90"/>
      <c r="N113" s="90"/>
      <c r="O113" s="249">
        <f>O111/O112</f>
        <v>6035161.90909091</v>
      </c>
      <c r="P113" s="112"/>
      <c r="Q113" s="259" t="s">
        <v>128</v>
      </c>
      <c r="R113" s="260"/>
      <c r="S113" s="260"/>
      <c r="T113" s="260"/>
      <c r="U113" s="261">
        <f>U111/U112</f>
        <v>6490594.71233397</v>
      </c>
      <c r="V113" s="2"/>
      <c r="W113" s="2"/>
    </row>
    <row r="114" customHeight="1" spans="1:24">
      <c r="A114" s="90"/>
      <c r="B114" s="100" t="s">
        <v>129</v>
      </c>
      <c r="C114" s="90">
        <v>110400</v>
      </c>
      <c r="D114" s="183">
        <v>0.01</v>
      </c>
      <c r="E114" s="254">
        <f>D114*M129</f>
        <v>39626.864645025</v>
      </c>
      <c r="F114" s="90"/>
      <c r="G114" s="100" t="s">
        <v>130</v>
      </c>
      <c r="H114" s="90"/>
      <c r="I114" s="249">
        <f>E135</f>
        <v>474720.414645025</v>
      </c>
      <c r="J114" s="90"/>
      <c r="K114" s="100" t="s">
        <v>131</v>
      </c>
      <c r="L114" s="90"/>
      <c r="M114" s="90"/>
      <c r="N114" s="262">
        <v>0.05</v>
      </c>
      <c r="O114" s="249">
        <f>O113*N114</f>
        <v>301758.095454545</v>
      </c>
      <c r="P114" s="90"/>
      <c r="Q114" s="245" t="s">
        <v>131</v>
      </c>
      <c r="R114" s="246"/>
      <c r="S114" s="246"/>
      <c r="T114" s="263">
        <v>0.05</v>
      </c>
      <c r="U114" s="255">
        <f>U113*T114</f>
        <v>324529.735616698</v>
      </c>
      <c r="V114" s="2"/>
      <c r="W114" s="264">
        <f>U113/395</f>
        <v>16431.8853476809</v>
      </c>
    </row>
    <row r="115" customHeight="1" spans="1:24">
      <c r="A115" s="90"/>
      <c r="B115" s="100" t="s">
        <v>132</v>
      </c>
      <c r="C115" s="90">
        <v>6000</v>
      </c>
      <c r="D115" s="243"/>
      <c r="E115" s="254">
        <v>500</v>
      </c>
      <c r="F115" s="90"/>
      <c r="G115" s="100" t="s">
        <v>133</v>
      </c>
      <c r="H115" s="90"/>
      <c r="I115" s="249">
        <f>I109+I114</f>
        <v>6674720.41464502</v>
      </c>
      <c r="J115" s="90"/>
      <c r="K115" s="100" t="s">
        <v>134</v>
      </c>
      <c r="L115" s="90"/>
      <c r="M115" s="90"/>
      <c r="N115" s="90"/>
      <c r="O115" s="249">
        <f>'Debt Current'!D98</f>
        <v>3651978.91179261</v>
      </c>
      <c r="P115" s="112"/>
      <c r="Q115" s="265" t="s">
        <v>135</v>
      </c>
      <c r="R115" s="266"/>
      <c r="S115" s="266"/>
      <c r="T115" s="266"/>
      <c r="U115" s="267">
        <f>'Debt Refinance'!D145</f>
        <v>3278314.76931368</v>
      </c>
      <c r="V115" s="2"/>
      <c r="W115" s="2"/>
    </row>
    <row r="116" customHeight="1" spans="1:24">
      <c r="A116" s="90"/>
      <c r="B116" s="100" t="s">
        <v>136</v>
      </c>
      <c r="C116" s="90">
        <v>1000</v>
      </c>
      <c r="D116" s="243"/>
      <c r="E116" s="254">
        <v>0</v>
      </c>
      <c r="F116" s="90"/>
      <c r="G116" s="107" t="s">
        <v>137</v>
      </c>
      <c r="H116" s="108"/>
      <c r="I116" s="268">
        <f>I115</f>
        <v>6674720.41464502</v>
      </c>
      <c r="J116" s="90"/>
      <c r="K116" s="100" t="s">
        <v>138</v>
      </c>
      <c r="L116" s="90"/>
      <c r="M116" s="90"/>
      <c r="N116" s="262">
        <v>0.0025</v>
      </c>
      <c r="O116" s="249">
        <f>O113*N116</f>
        <v>15087.9047727273</v>
      </c>
      <c r="P116" s="90"/>
      <c r="Q116" s="245" t="s">
        <v>138</v>
      </c>
      <c r="R116" s="246"/>
      <c r="S116" s="246"/>
      <c r="T116" s="269">
        <v>0.0075</v>
      </c>
      <c r="U116" s="255">
        <f>U113*T116</f>
        <v>48679.4603425048</v>
      </c>
      <c r="V116" s="2"/>
      <c r="W116" s="2"/>
    </row>
    <row r="117" customHeight="1" spans="1:24">
      <c r="A117" s="90"/>
      <c r="B117" s="100" t="s">
        <v>139</v>
      </c>
      <c r="C117" s="90">
        <v>3000</v>
      </c>
      <c r="D117" s="243"/>
      <c r="E117" s="254">
        <f>1500+905+165+164.8+3028.75+290</f>
        <v>6053.55</v>
      </c>
      <c r="F117" s="90"/>
      <c r="G117" s="90"/>
      <c r="H117" s="90"/>
      <c r="I117" s="90"/>
      <c r="J117" s="90"/>
      <c r="K117" s="100"/>
      <c r="L117" s="90"/>
      <c r="M117" s="90"/>
      <c r="N117" s="90"/>
      <c r="O117" s="98"/>
      <c r="P117" s="90"/>
      <c r="Q117" s="245"/>
      <c r="R117" s="246"/>
      <c r="S117" s="246"/>
      <c r="T117" s="246"/>
      <c r="U117" s="247"/>
      <c r="V117" s="2"/>
      <c r="W117" s="2"/>
      <c r="X117" s="264"/>
    </row>
    <row r="118" customHeight="1" spans="1:24">
      <c r="A118" s="90"/>
      <c r="B118" s="100" t="s">
        <v>140</v>
      </c>
      <c r="C118" s="90"/>
      <c r="D118" s="183"/>
      <c r="E118" s="254"/>
      <c r="F118" s="90"/>
      <c r="G118" s="90"/>
      <c r="H118" s="90"/>
      <c r="I118" s="90"/>
      <c r="J118" s="90"/>
      <c r="K118" s="270" t="s">
        <v>141</v>
      </c>
      <c r="L118" s="271"/>
      <c r="M118" s="271"/>
      <c r="N118" s="271"/>
      <c r="O118" s="272">
        <f>O113-O114-O115-O116</f>
        <v>2066336.99707103</v>
      </c>
      <c r="P118" s="90"/>
      <c r="Q118" s="273" t="s">
        <v>141</v>
      </c>
      <c r="R118" s="274"/>
      <c r="S118" s="274"/>
      <c r="T118" s="274"/>
      <c r="U118" s="275">
        <f>U113-U114-U115-U116</f>
        <v>2839070.74706108</v>
      </c>
      <c r="V118" s="2"/>
      <c r="W118" s="2"/>
    </row>
    <row r="119" customHeight="1" spans="1:24">
      <c r="A119" s="90"/>
      <c r="B119" s="100" t="s">
        <v>142</v>
      </c>
      <c r="C119" s="90">
        <v>24000</v>
      </c>
      <c r="D119" s="243"/>
      <c r="E119" s="254">
        <v>3000</v>
      </c>
      <c r="F119" s="90"/>
      <c r="J119" s="90"/>
      <c r="K119" s="100"/>
      <c r="L119" s="90"/>
      <c r="M119" s="90"/>
      <c r="N119" s="90"/>
      <c r="O119" s="249"/>
      <c r="P119" s="90"/>
      <c r="Q119" s="245" t="s">
        <v>143</v>
      </c>
      <c r="R119" s="246"/>
      <c r="S119" s="246"/>
      <c r="T119" s="246"/>
      <c r="U119" s="255">
        <f>L152</f>
        <v>1558276.62303895</v>
      </c>
      <c r="V119" s="2"/>
      <c r="W119" s="2"/>
    </row>
    <row r="120" customHeight="1" spans="1:24">
      <c r="A120" s="90"/>
      <c r="B120" s="100" t="s">
        <v>144</v>
      </c>
      <c r="C120" s="90">
        <v>11250</v>
      </c>
      <c r="D120" s="243"/>
      <c r="E120" s="254">
        <v>1000</v>
      </c>
      <c r="F120" s="90"/>
      <c r="J120" s="90"/>
      <c r="K120" s="100" t="s">
        <v>145</v>
      </c>
      <c r="L120" s="90"/>
      <c r="M120" s="90"/>
      <c r="N120" s="90"/>
      <c r="O120" s="249">
        <f>1750000</f>
        <v>1750000</v>
      </c>
      <c r="P120" s="90" t="s">
        <v>146</v>
      </c>
      <c r="Q120" s="276" t="s">
        <v>147</v>
      </c>
      <c r="R120" s="277"/>
      <c r="S120" s="277"/>
      <c r="T120" s="277"/>
      <c r="U120" s="278">
        <f>U118-U119</f>
        <v>1280794.12402213</v>
      </c>
      <c r="V120" s="2"/>
      <c r="W120" s="2"/>
    </row>
    <row r="121" customHeight="1" spans="1:24">
      <c r="A121" s="90"/>
      <c r="B121" s="100" t="s">
        <v>148</v>
      </c>
      <c r="C121" s="90" t="s">
        <v>113</v>
      </c>
      <c r="D121" s="243"/>
      <c r="E121" s="254"/>
      <c r="F121" s="90"/>
      <c r="G121" s="234" t="s">
        <v>149</v>
      </c>
      <c r="H121" s="143"/>
      <c r="I121" s="279"/>
      <c r="J121" s="280"/>
      <c r="K121" s="149" t="s">
        <v>147</v>
      </c>
      <c r="L121" s="281"/>
      <c r="M121" s="281"/>
      <c r="N121" s="281"/>
      <c r="O121" s="282">
        <f>IF((O118-O120)&gt;0,O118-O120,0)</f>
        <v>316336.99707103</v>
      </c>
      <c r="P121" s="283">
        <f>O121/O120</f>
        <v>0.180763998326303</v>
      </c>
      <c r="Q121" s="284" t="s">
        <v>150</v>
      </c>
      <c r="R121" s="285">
        <v>0.8</v>
      </c>
      <c r="S121" s="286"/>
      <c r="T121" s="286"/>
      <c r="U121" s="287">
        <f>U120*0.8</f>
        <v>1024635.29921771</v>
      </c>
      <c r="V121" s="2"/>
      <c r="W121" s="2"/>
      <c r="X121" s="2"/>
    </row>
    <row r="122" ht="13.5" customHeight="1" spans="1:24">
      <c r="A122" s="90"/>
      <c r="B122" s="100" t="s">
        <v>151</v>
      </c>
      <c r="C122" s="90"/>
      <c r="D122" s="243"/>
      <c r="E122" s="254">
        <v>5000</v>
      </c>
      <c r="F122" s="90"/>
      <c r="G122" s="185" t="s">
        <v>152</v>
      </c>
      <c r="H122" s="288"/>
      <c r="I122" s="289">
        <v>150000</v>
      </c>
      <c r="J122" s="90"/>
      <c r="K122" s="100"/>
      <c r="L122" s="90"/>
      <c r="M122" s="90"/>
      <c r="N122" s="90"/>
      <c r="O122" s="249"/>
      <c r="P122" s="90" t="s">
        <v>153</v>
      </c>
      <c r="Q122" s="284" t="s">
        <v>154</v>
      </c>
      <c r="R122" s="290">
        <v>0.2</v>
      </c>
      <c r="S122" s="108"/>
      <c r="T122" s="108"/>
      <c r="U122" s="291">
        <f>U120-U121</f>
        <v>256158.824804427</v>
      </c>
      <c r="V122" s="2"/>
      <c r="W122" s="2"/>
    </row>
    <row r="123" ht="13.5" customHeight="1" spans="1:24">
      <c r="A123" s="90"/>
      <c r="B123" s="100" t="s">
        <v>155</v>
      </c>
      <c r="C123" s="90" t="s">
        <v>113</v>
      </c>
      <c r="D123" s="292"/>
      <c r="E123" s="254">
        <v>15000</v>
      </c>
      <c r="F123" s="192"/>
      <c r="G123" s="100" t="s">
        <v>156</v>
      </c>
      <c r="H123" s="90"/>
      <c r="I123" s="249"/>
      <c r="J123" s="90"/>
      <c r="K123" s="100" t="s">
        <v>157</v>
      </c>
      <c r="L123" s="293">
        <v>0.8</v>
      </c>
      <c r="M123" s="90"/>
      <c r="N123" s="90"/>
      <c r="O123" s="249">
        <f>O121*$L$123</f>
        <v>253069.597656824</v>
      </c>
      <c r="P123" s="283">
        <f>O123/O120</f>
        <v>0.144611198661042</v>
      </c>
      <c r="V123" s="2"/>
      <c r="W123" s="2"/>
      <c r="X123" s="2"/>
    </row>
    <row r="124" ht="13.5" customHeight="1" spans="1:24">
      <c r="A124" s="90"/>
      <c r="B124" s="100" t="s">
        <v>158</v>
      </c>
      <c r="C124" s="90"/>
      <c r="D124" s="243"/>
      <c r="E124" s="254">
        <v>5000</v>
      </c>
      <c r="F124" s="90"/>
      <c r="G124" s="100" t="s">
        <v>159</v>
      </c>
      <c r="H124" s="90"/>
      <c r="I124" s="249">
        <f>U139</f>
        <v>0</v>
      </c>
      <c r="J124" s="294"/>
      <c r="K124" s="107" t="s">
        <v>154</v>
      </c>
      <c r="L124" s="295">
        <v>0.2</v>
      </c>
      <c r="M124" s="108"/>
      <c r="N124" s="108"/>
      <c r="O124" s="268">
        <f>O121*$L$124</f>
        <v>63267.399414206</v>
      </c>
      <c r="P124" s="112"/>
      <c r="V124" s="2"/>
      <c r="W124" s="2"/>
    </row>
    <row r="125" ht="13.5" customHeight="1" spans="1:24">
      <c r="A125" s="90"/>
      <c r="B125" s="100" t="s">
        <v>160</v>
      </c>
      <c r="C125" s="90"/>
      <c r="D125" s="90"/>
      <c r="E125" s="244"/>
      <c r="F125" s="90"/>
      <c r="G125" s="149" t="s">
        <v>161</v>
      </c>
      <c r="H125" s="281"/>
      <c r="I125" s="296"/>
      <c r="J125" s="294"/>
      <c r="K125" s="90"/>
      <c r="L125" s="90"/>
      <c r="M125" s="90"/>
      <c r="N125" s="90"/>
      <c r="O125" s="90"/>
      <c r="P125" s="90"/>
      <c r="W125" s="2"/>
    </row>
    <row r="126" ht="16.5" spans="1:24">
      <c r="A126" s="90"/>
      <c r="B126" s="100" t="s">
        <v>162</v>
      </c>
      <c r="C126" s="90">
        <v>172500</v>
      </c>
      <c r="D126" s="297">
        <v>0.0075</v>
      </c>
      <c r="E126" s="254">
        <f>D126*I109</f>
        <v>46500</v>
      </c>
      <c r="F126" s="90"/>
      <c r="G126" s="298" t="s">
        <v>163</v>
      </c>
      <c r="H126" s="299"/>
      <c r="I126" s="300">
        <f>SUM(I122:I125)+2000000</f>
        <v>2150000</v>
      </c>
      <c r="J126" s="192"/>
      <c r="N126" s="90"/>
      <c r="O126" s="90"/>
      <c r="P126" s="90"/>
      <c r="Q126" s="301" t="s">
        <v>164</v>
      </c>
      <c r="R126" s="302"/>
      <c r="S126" s="302"/>
      <c r="T126" s="302"/>
      <c r="U126" s="303"/>
      <c r="W126" s="2"/>
    </row>
    <row r="127" ht="15.75" spans="1:24">
      <c r="A127" s="90"/>
      <c r="B127" s="100" t="s">
        <v>165</v>
      </c>
      <c r="C127" s="90">
        <v>115000</v>
      </c>
      <c r="D127" s="297">
        <v>0.005</v>
      </c>
      <c r="E127" s="254">
        <f>D127*I109</f>
        <v>31000</v>
      </c>
      <c r="F127" s="90"/>
      <c r="H127" s="4"/>
      <c r="I127" s="264"/>
      <c r="J127" s="294"/>
      <c r="N127" s="90"/>
      <c r="O127" s="90"/>
      <c r="P127" s="90"/>
      <c r="Q127" s="245"/>
      <c r="R127" s="246"/>
      <c r="S127" s="246"/>
      <c r="T127" s="246"/>
      <c r="U127" s="247"/>
      <c r="W127" s="2"/>
    </row>
    <row r="128" ht="15.75" spans="1:24">
      <c r="A128" s="90"/>
      <c r="B128" s="100" t="s">
        <v>166</v>
      </c>
      <c r="C128" s="90">
        <v>690000</v>
      </c>
      <c r="D128" s="297">
        <v>0.03</v>
      </c>
      <c r="E128" s="254">
        <f>D128*I109</f>
        <v>186000</v>
      </c>
      <c r="F128" s="90"/>
      <c r="J128" s="294"/>
      <c r="K128" s="304" t="s">
        <v>167</v>
      </c>
      <c r="L128" s="305"/>
      <c r="M128" s="306"/>
      <c r="N128" s="90"/>
      <c r="O128" s="90"/>
      <c r="P128" s="112"/>
      <c r="Q128" s="245" t="s">
        <v>168</v>
      </c>
      <c r="R128" s="246"/>
      <c r="S128" s="246"/>
      <c r="T128" s="246"/>
      <c r="U128" s="251">
        <v>2027</v>
      </c>
      <c r="V128" s="2"/>
      <c r="W128" s="2"/>
    </row>
    <row r="129" ht="15.75" spans="1:33">
      <c r="A129" s="90"/>
      <c r="B129" s="100" t="s">
        <v>169</v>
      </c>
      <c r="C129" s="90"/>
      <c r="D129" s="307">
        <v>0</v>
      </c>
      <c r="E129" s="244"/>
      <c r="F129" s="90"/>
      <c r="J129" s="294"/>
      <c r="K129" s="308" t="s">
        <v>170</v>
      </c>
      <c r="L129" s="309">
        <f>M129/I116</f>
        <v>0.593685760351543</v>
      </c>
      <c r="M129" s="310">
        <f>U133</f>
        <v>3962686.4645025</v>
      </c>
      <c r="N129" s="311">
        <v>6736458.55</v>
      </c>
      <c r="O129" s="90"/>
      <c r="P129" s="112"/>
      <c r="Q129" s="245" t="s">
        <v>118</v>
      </c>
      <c r="R129" s="246"/>
      <c r="S129" s="246"/>
      <c r="T129" s="246"/>
      <c r="U129" s="312">
        <v>46388</v>
      </c>
      <c r="V129" s="2"/>
      <c r="W129" s="2"/>
    </row>
    <row r="130" ht="15.75" spans="1:33">
      <c r="A130" s="90"/>
      <c r="B130" s="100" t="s">
        <v>171</v>
      </c>
      <c r="C130" s="90"/>
      <c r="D130" s="307">
        <v>0</v>
      </c>
      <c r="E130" s="244"/>
      <c r="F130" s="90"/>
      <c r="H130" s="4"/>
      <c r="J130" s="90"/>
      <c r="K130" s="308" t="s">
        <v>172</v>
      </c>
      <c r="L130" s="313">
        <f>1-L129</f>
        <v>0.406314239648457</v>
      </c>
      <c r="M130" s="314">
        <v>1600000</v>
      </c>
      <c r="N130" s="192"/>
      <c r="O130" s="90"/>
      <c r="P130" s="90"/>
      <c r="Q130" s="245" t="s">
        <v>121</v>
      </c>
      <c r="R130" s="246"/>
      <c r="S130" s="246"/>
      <c r="T130" s="246"/>
      <c r="U130" s="255">
        <f>I94</f>
        <v>339658.8398145</v>
      </c>
      <c r="V130" s="2"/>
    </row>
    <row r="131" ht="15.75" spans="1:33">
      <c r="A131" s="90"/>
      <c r="B131" s="100" t="s">
        <v>66</v>
      </c>
      <c r="C131" s="90"/>
      <c r="D131" s="307"/>
      <c r="E131" s="254"/>
      <c r="F131" s="90"/>
      <c r="J131" s="90"/>
      <c r="K131" s="315" t="s">
        <v>173</v>
      </c>
      <c r="L131" s="316">
        <f>M131/I109</f>
        <v>0.639142978145564</v>
      </c>
      <c r="M131" s="314">
        <f>M129</f>
        <v>3962686.4645025</v>
      </c>
      <c r="N131" s="90"/>
      <c r="O131" s="112"/>
      <c r="P131" s="90"/>
      <c r="Q131" s="245" t="s">
        <v>124</v>
      </c>
      <c r="R131" s="246"/>
      <c r="S131" s="246"/>
      <c r="T131" s="246"/>
      <c r="U131" s="257">
        <v>0.06</v>
      </c>
      <c r="V131" s="90"/>
      <c r="AB131" s="2"/>
      <c r="AC131" s="2"/>
      <c r="AD131" s="2"/>
      <c r="AE131" s="2"/>
      <c r="AF131" s="2"/>
      <c r="AG131" s="2"/>
    </row>
    <row r="132" ht="15.75" spans="1:33">
      <c r="A132" s="90"/>
      <c r="B132" s="100" t="s">
        <v>174</v>
      </c>
      <c r="C132" s="90"/>
      <c r="D132" s="200"/>
      <c r="E132" s="254"/>
      <c r="F132" s="90"/>
      <c r="G132" s="90"/>
      <c r="H132" s="317"/>
      <c r="I132" s="294"/>
      <c r="J132" s="90"/>
      <c r="K132" s="318"/>
      <c r="M132" s="319"/>
      <c r="N132" s="90"/>
      <c r="O132" s="90"/>
      <c r="P132" s="90"/>
      <c r="Q132" s="245" t="s">
        <v>128</v>
      </c>
      <c r="R132" s="246"/>
      <c r="S132" s="246"/>
      <c r="T132" s="246"/>
      <c r="U132" s="255">
        <f>U130/U131</f>
        <v>5660980.663575</v>
      </c>
      <c r="V132" s="90"/>
      <c r="AB132" s="2"/>
      <c r="AC132" s="2"/>
      <c r="AD132" s="2"/>
      <c r="AE132" s="2"/>
      <c r="AF132" s="2"/>
      <c r="AG132" s="2"/>
    </row>
    <row r="133" ht="15.75" spans="1:33">
      <c r="A133" s="90"/>
      <c r="B133" s="100" t="s">
        <v>175</v>
      </c>
      <c r="C133" s="320">
        <v>120000</v>
      </c>
      <c r="D133" s="200">
        <v>1</v>
      </c>
      <c r="E133" s="244">
        <f>C133</f>
        <v>120000</v>
      </c>
      <c r="F133" s="90"/>
      <c r="G133" s="90"/>
      <c r="H133" s="321"/>
      <c r="I133" s="192"/>
      <c r="J133" s="90"/>
      <c r="K133" s="322" t="s">
        <v>176</v>
      </c>
      <c r="L133" s="323"/>
      <c r="M133" s="324">
        <f>I115-M129-E128</f>
        <v>2526033.95014253</v>
      </c>
      <c r="N133" s="90"/>
      <c r="O133" s="90"/>
      <c r="P133" s="90"/>
      <c r="Q133" s="245" t="s">
        <v>177</v>
      </c>
      <c r="R133" s="246"/>
      <c r="S133" s="246"/>
      <c r="T133" s="263">
        <v>0.7</v>
      </c>
      <c r="U133" s="325">
        <f>U132*T133</f>
        <v>3962686.4645025</v>
      </c>
      <c r="V133" s="90"/>
      <c r="AB133" s="2"/>
      <c r="AC133" s="2"/>
      <c r="AD133" s="2"/>
      <c r="AE133" s="2"/>
      <c r="AF133" s="2"/>
      <c r="AG133" s="2"/>
    </row>
    <row r="134" ht="15.75" spans="1:33">
      <c r="A134" s="90"/>
      <c r="B134" s="100"/>
      <c r="C134" s="183"/>
      <c r="D134" s="200"/>
      <c r="E134" s="244"/>
      <c r="F134" s="192"/>
      <c r="H134" s="326"/>
      <c r="J134" s="90"/>
      <c r="K134" s="90"/>
      <c r="L134" s="90"/>
      <c r="M134" s="183"/>
      <c r="N134" s="90"/>
      <c r="O134" s="90"/>
      <c r="P134" s="90"/>
      <c r="Q134" s="245" t="s">
        <v>178</v>
      </c>
      <c r="R134" s="246"/>
      <c r="S134" s="246"/>
      <c r="T134" s="269">
        <v>0.0225</v>
      </c>
      <c r="U134" s="255">
        <f>U132*T134</f>
        <v>127372.064930437</v>
      </c>
      <c r="V134" s="90"/>
      <c r="W134" s="2"/>
      <c r="AB134" s="2"/>
      <c r="AC134" s="2"/>
      <c r="AD134" s="2"/>
      <c r="AE134" s="2"/>
      <c r="AF134" s="2"/>
      <c r="AG134" s="2"/>
    </row>
    <row r="135" ht="16.5" spans="1:33">
      <c r="A135" s="90"/>
      <c r="B135" s="327" t="s">
        <v>179</v>
      </c>
      <c r="C135" s="224" t="s">
        <v>113</v>
      </c>
      <c r="D135" s="328">
        <f>E135/I109</f>
        <v>0.0765678088137137</v>
      </c>
      <c r="E135" s="329">
        <f>SUM(E109:E134)</f>
        <v>474720.414645025</v>
      </c>
      <c r="F135" s="90"/>
      <c r="G135" s="2"/>
      <c r="J135" s="90"/>
      <c r="K135" s="90"/>
      <c r="L135" s="90"/>
      <c r="M135" s="200"/>
      <c r="N135" s="90"/>
      <c r="O135" s="90"/>
      <c r="P135" s="90"/>
      <c r="Q135" s="245" t="s">
        <v>180</v>
      </c>
      <c r="R135" s="246"/>
      <c r="S135" s="246"/>
      <c r="T135" s="246"/>
      <c r="U135" s="255">
        <f>'Debt Current'!D99</f>
        <v>3643591.02261101</v>
      </c>
      <c r="V135" s="90"/>
      <c r="W135" s="2"/>
      <c r="AB135" s="2"/>
      <c r="AC135" s="2"/>
      <c r="AD135" s="2"/>
      <c r="AE135" s="2"/>
      <c r="AF135" s="2"/>
      <c r="AG135" s="2"/>
    </row>
    <row r="136" ht="15.75" spans="1:33">
      <c r="A136" s="90"/>
      <c r="B136" s="111"/>
      <c r="C136" s="111"/>
      <c r="D136" s="330"/>
      <c r="E136" s="90"/>
      <c r="F136" s="90"/>
      <c r="G136" s="2"/>
      <c r="J136" s="90"/>
      <c r="K136" s="90"/>
      <c r="L136" s="117"/>
      <c r="M136" s="200"/>
      <c r="N136" s="90"/>
      <c r="O136" s="90"/>
      <c r="P136" s="90"/>
      <c r="Q136" s="245" t="s">
        <v>181</v>
      </c>
      <c r="R136" s="246"/>
      <c r="S136" s="246"/>
      <c r="T136" s="263">
        <v>0</v>
      </c>
      <c r="U136" s="255">
        <f>T136*U135</f>
        <v>0</v>
      </c>
      <c r="V136" s="90"/>
      <c r="W136" s="2"/>
      <c r="AB136" s="2"/>
      <c r="AC136" s="2"/>
      <c r="AD136" s="2"/>
      <c r="AE136" s="2"/>
      <c r="AF136" s="2"/>
      <c r="AG136" s="2"/>
    </row>
    <row r="137" ht="15.75" spans="1:33">
      <c r="A137" s="90"/>
      <c r="B137" s="111"/>
      <c r="C137" s="111"/>
      <c r="D137" s="330"/>
      <c r="E137" s="117"/>
      <c r="F137" s="90"/>
      <c r="J137" s="90"/>
      <c r="K137" s="90"/>
      <c r="L137" s="90"/>
      <c r="M137" s="200"/>
      <c r="N137" s="90"/>
      <c r="O137" s="90"/>
      <c r="P137" s="90"/>
      <c r="Q137" s="245"/>
      <c r="R137" s="246"/>
      <c r="S137" s="246"/>
      <c r="T137" s="246"/>
      <c r="U137" s="247"/>
      <c r="V137" s="90"/>
      <c r="W137" s="2"/>
      <c r="AB137" s="2"/>
      <c r="AC137" s="2"/>
      <c r="AD137" s="2"/>
      <c r="AE137" s="2"/>
      <c r="AF137" s="2"/>
      <c r="AG137" s="2"/>
    </row>
    <row r="138" ht="15.75" spans="1:33">
      <c r="A138" s="90"/>
      <c r="B138" s="111"/>
      <c r="C138" s="111"/>
      <c r="D138" s="330"/>
      <c r="E138" s="90"/>
      <c r="F138" s="90"/>
      <c r="G138" s="90"/>
      <c r="H138" s="321"/>
      <c r="I138" s="192"/>
      <c r="J138" s="90"/>
      <c r="K138" s="90"/>
      <c r="L138" s="90"/>
      <c r="M138" s="200"/>
      <c r="N138" s="90"/>
      <c r="O138" s="90"/>
      <c r="P138" s="90"/>
      <c r="Q138" s="331" t="s">
        <v>182</v>
      </c>
      <c r="R138" s="332"/>
      <c r="S138" s="332"/>
      <c r="T138" s="332"/>
      <c r="U138" s="333">
        <f>U133-U134-U135-U136</f>
        <v>191723.376961051</v>
      </c>
      <c r="V138" s="90"/>
      <c r="W138" s="2"/>
      <c r="AB138" s="2"/>
      <c r="AC138" s="2"/>
      <c r="AD138" s="2"/>
      <c r="AE138" s="2"/>
      <c r="AF138" s="2"/>
      <c r="AG138" s="2"/>
    </row>
    <row r="139" ht="16.5" spans="1:33">
      <c r="A139" s="90"/>
      <c r="B139" s="111"/>
      <c r="C139" s="111"/>
      <c r="D139" s="330"/>
      <c r="E139" s="90"/>
      <c r="F139" s="90"/>
      <c r="G139" s="90"/>
      <c r="H139" s="321"/>
      <c r="I139" s="90"/>
      <c r="J139" s="90"/>
      <c r="K139" s="90"/>
      <c r="L139" s="90"/>
      <c r="M139" s="200"/>
      <c r="N139" s="90"/>
      <c r="O139" s="90"/>
      <c r="P139" s="90"/>
      <c r="Q139" s="334" t="s">
        <v>183</v>
      </c>
      <c r="R139" s="335"/>
      <c r="S139" s="335"/>
      <c r="T139" s="335"/>
      <c r="U139" s="336"/>
      <c r="V139" s="90"/>
      <c r="AB139" s="2"/>
      <c r="AC139" s="2"/>
      <c r="AD139" s="2"/>
      <c r="AE139" s="2"/>
      <c r="AF139" s="2"/>
      <c r="AG139" s="2"/>
    </row>
    <row r="140" ht="16.5" spans="1:33">
      <c r="A140" s="90"/>
      <c r="B140" s="337" t="s">
        <v>184</v>
      </c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0"/>
      <c r="N140" s="90"/>
      <c r="O140" s="90"/>
      <c r="P140" s="90"/>
      <c r="Q140" s="338" t="s">
        <v>185</v>
      </c>
      <c r="R140" s="339"/>
      <c r="S140" s="339"/>
      <c r="T140" s="339"/>
      <c r="U140" s="340">
        <f>U138-U139</f>
        <v>191723.376961051</v>
      </c>
      <c r="V140" s="90"/>
    </row>
    <row r="141" ht="16.85" spans="1:33">
      <c r="A141" s="90"/>
      <c r="B141" s="341" t="s">
        <v>186</v>
      </c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90"/>
      <c r="N141" s="90"/>
      <c r="O141" s="90"/>
      <c r="P141" s="90"/>
      <c r="V141" s="90"/>
    </row>
    <row r="142" ht="16.5" customHeight="1" spans="1:33">
      <c r="A142" s="90"/>
      <c r="B142" s="343" t="s">
        <v>187</v>
      </c>
      <c r="C142" s="344"/>
      <c r="D142" s="344">
        <v>1</v>
      </c>
      <c r="E142" s="344">
        <f t="shared" ref="E142:L142" si="64">IF(OR(D143="SALE!",D142=0),0,1)</f>
        <v>1</v>
      </c>
      <c r="F142" s="344">
        <f t="shared" si="64"/>
        <v>1</v>
      </c>
      <c r="G142" s="344">
        <f t="shared" si="64"/>
        <v>1</v>
      </c>
      <c r="H142" s="344">
        <f t="shared" si="64"/>
        <v>1</v>
      </c>
      <c r="I142" s="344">
        <f t="shared" si="64"/>
        <v>1</v>
      </c>
      <c r="J142" s="344">
        <f t="shared" si="64"/>
        <v>1</v>
      </c>
      <c r="K142" s="344">
        <f t="shared" si="64"/>
        <v>1</v>
      </c>
      <c r="L142" s="344">
        <f t="shared" si="64"/>
        <v>1</v>
      </c>
      <c r="M142" s="90"/>
      <c r="N142" s="90"/>
      <c r="O142" s="90"/>
      <c r="P142" s="90"/>
      <c r="V142" s="90"/>
    </row>
    <row r="143" ht="16.5" customHeight="1" spans="1:33">
      <c r="A143" s="90"/>
      <c r="B143" s="345"/>
      <c r="C143" s="342"/>
      <c r="D143" s="342"/>
      <c r="E143" s="346" t="str">
        <f t="shared" ref="E143:L143" si="65">IF(E144=$O$109,"SALE!","")</f>
        <v/>
      </c>
      <c r="F143" s="346" t="str">
        <f t="shared" si="65"/>
        <v/>
      </c>
      <c r="G143" s="346" t="str">
        <f t="shared" si="65"/>
        <v/>
      </c>
      <c r="H143" s="346" t="str">
        <f t="shared" si="65"/>
        <v/>
      </c>
      <c r="I143" s="346" t="str">
        <f t="shared" si="65"/>
        <v/>
      </c>
      <c r="J143" s="346" t="str">
        <f t="shared" si="65"/>
        <v/>
      </c>
      <c r="K143" s="346" t="str">
        <f t="shared" si="65"/>
        <v/>
      </c>
      <c r="L143" s="346" t="str">
        <f t="shared" si="65"/>
        <v/>
      </c>
      <c r="M143" s="90"/>
      <c r="N143" s="90"/>
      <c r="O143" s="90"/>
      <c r="P143" s="90"/>
      <c r="Q143" s="347" t="s">
        <v>188</v>
      </c>
      <c r="R143" s="348"/>
      <c r="S143" s="349"/>
      <c r="U143" s="350">
        <f>0.25%*U132</f>
        <v>14152.4516589375</v>
      </c>
      <c r="V143" s="90"/>
    </row>
    <row r="144" ht="16.5" customHeight="1" spans="1:33">
      <c r="A144" s="90"/>
      <c r="B144" s="351" t="s">
        <v>38</v>
      </c>
      <c r="C144" s="352"/>
      <c r="D144" s="352"/>
      <c r="E144" s="353">
        <v>2023</v>
      </c>
      <c r="F144" s="167" t="s">
        <v>39</v>
      </c>
      <c r="G144" s="167" t="s">
        <v>40</v>
      </c>
      <c r="H144" s="168" t="s">
        <v>41</v>
      </c>
      <c r="I144" s="168" t="s">
        <v>42</v>
      </c>
      <c r="J144" s="168" t="s">
        <v>43</v>
      </c>
      <c r="K144" s="168" t="s">
        <v>44</v>
      </c>
      <c r="L144" s="168" t="s">
        <v>45</v>
      </c>
      <c r="M144" s="90"/>
      <c r="N144" s="90"/>
      <c r="O144" s="90"/>
      <c r="P144" s="90"/>
      <c r="Q144" s="100" t="s">
        <v>189</v>
      </c>
      <c r="R144" s="183">
        <v>0.08</v>
      </c>
      <c r="S144" s="103">
        <f>S145*R144</f>
        <v>317014.9171602</v>
      </c>
      <c r="V144" s="90"/>
      <c r="W144" s="2"/>
      <c r="X144" s="2"/>
    </row>
    <row r="145" ht="16.5" customHeight="1" spans="1:24">
      <c r="A145" s="90"/>
      <c r="B145" s="354"/>
      <c r="C145" s="355"/>
      <c r="D145" s="355"/>
      <c r="E145" s="355"/>
      <c r="F145" s="355"/>
      <c r="G145" s="356"/>
      <c r="H145" s="356"/>
      <c r="I145" s="90"/>
      <c r="J145" s="90"/>
      <c r="K145" s="90"/>
      <c r="L145" s="90"/>
      <c r="M145" s="90"/>
      <c r="N145" s="90"/>
      <c r="O145" s="90"/>
      <c r="P145" s="90"/>
      <c r="Q145" s="100" t="s">
        <v>170</v>
      </c>
      <c r="R145" s="183">
        <f>S145/I116</f>
        <v>0.593685760351543</v>
      </c>
      <c r="S145" s="357">
        <f>S147</f>
        <v>3962686.4645025</v>
      </c>
      <c r="V145" s="90"/>
      <c r="W145" s="2"/>
      <c r="X145" s="2"/>
    </row>
    <row r="146" ht="16.5" customHeight="1" spans="1:24">
      <c r="A146" s="90"/>
      <c r="B146" s="354"/>
      <c r="C146" s="355"/>
      <c r="D146" s="355"/>
      <c r="E146" s="355"/>
      <c r="F146" s="355"/>
      <c r="G146" s="356"/>
      <c r="H146" s="356"/>
      <c r="I146" s="90"/>
      <c r="J146" s="90"/>
      <c r="K146" s="90"/>
      <c r="L146" s="90"/>
      <c r="M146" s="90"/>
      <c r="N146" s="90"/>
      <c r="O146" s="90"/>
      <c r="P146" s="90"/>
      <c r="Q146" s="100" t="s">
        <v>172</v>
      </c>
      <c r="R146" s="358">
        <f>1-R145</f>
        <v>0.406314239648457</v>
      </c>
      <c r="S146" s="359">
        <f>R146*I116</f>
        <v>2712033.95014253</v>
      </c>
      <c r="T146" s="90"/>
      <c r="U146" s="90"/>
      <c r="V146" s="90"/>
      <c r="W146" s="2"/>
      <c r="X146" s="2"/>
    </row>
    <row r="147" ht="16.5" customHeight="1" spans="1:24">
      <c r="A147" s="90"/>
      <c r="B147" s="360" t="s">
        <v>190</v>
      </c>
      <c r="C147" s="361"/>
      <c r="D147" s="361"/>
      <c r="E147" s="362"/>
      <c r="F147" s="363"/>
      <c r="G147" s="363"/>
      <c r="H147" s="363"/>
      <c r="I147" s="363">
        <f t="shared" ref="I147:L147" si="66">H101*I142</f>
        <v>106016.166602363</v>
      </c>
      <c r="J147" s="363">
        <f t="shared" si="66"/>
        <v>121711.084266862</v>
      </c>
      <c r="K147" s="363">
        <f t="shared" si="66"/>
        <v>138115.889461298</v>
      </c>
      <c r="L147" s="363">
        <f t="shared" si="66"/>
        <v>155261.440411566</v>
      </c>
      <c r="M147" s="90"/>
      <c r="N147" s="90"/>
      <c r="O147" s="90"/>
      <c r="P147" s="90"/>
      <c r="Q147" s="364" t="s">
        <v>173</v>
      </c>
      <c r="R147" s="358">
        <f>S145/I109</f>
        <v>0.639142978145564</v>
      </c>
      <c r="S147" s="359">
        <f>M131</f>
        <v>3962686.4645025</v>
      </c>
      <c r="T147" s="90"/>
      <c r="U147" s="90"/>
      <c r="V147" s="90"/>
      <c r="W147" s="2"/>
      <c r="X147" s="2"/>
    </row>
    <row r="148" ht="17.6" spans="1:24">
      <c r="A148" s="90"/>
      <c r="B148" s="354" t="s">
        <v>191</v>
      </c>
      <c r="C148" s="355"/>
      <c r="D148" s="365">
        <v>5000</v>
      </c>
      <c r="E148" s="366"/>
      <c r="F148" s="356"/>
      <c r="G148" s="356"/>
      <c r="H148" s="356"/>
      <c r="I148" s="356">
        <f t="shared" ref="I148:L148" si="67">$D$148</f>
        <v>5000</v>
      </c>
      <c r="J148" s="356">
        <f t="shared" si="67"/>
        <v>5000</v>
      </c>
      <c r="K148" s="356">
        <f t="shared" si="67"/>
        <v>5000</v>
      </c>
      <c r="L148" s="356">
        <f t="shared" si="67"/>
        <v>5000</v>
      </c>
      <c r="M148" s="90"/>
      <c r="N148" s="90"/>
      <c r="O148" s="90"/>
      <c r="P148" s="90"/>
      <c r="Q148" s="100"/>
      <c r="R148" s="183"/>
      <c r="S148" s="103"/>
      <c r="T148" s="90"/>
      <c r="U148" s="90"/>
      <c r="V148" s="90"/>
      <c r="W148" s="2"/>
      <c r="X148" s="2"/>
    </row>
    <row r="149" ht="17.6" spans="1:24">
      <c r="A149" s="90"/>
      <c r="B149" s="367" t="s">
        <v>192</v>
      </c>
      <c r="C149" s="368"/>
      <c r="D149" s="369"/>
      <c r="E149" s="370"/>
      <c r="F149" s="371"/>
      <c r="G149" s="371"/>
      <c r="H149" s="371"/>
      <c r="I149" s="371">
        <f t="shared" ref="I149:L149" si="68">I147-I148</f>
        <v>101016.166602363</v>
      </c>
      <c r="J149" s="371">
        <f t="shared" si="68"/>
        <v>116711.084266862</v>
      </c>
      <c r="K149" s="371">
        <f t="shared" si="68"/>
        <v>133115.889461298</v>
      </c>
      <c r="L149" s="371">
        <f t="shared" si="68"/>
        <v>150261.440411566</v>
      </c>
      <c r="M149" s="90"/>
      <c r="N149" s="90"/>
      <c r="O149" s="90"/>
      <c r="P149" s="90"/>
      <c r="Q149" s="107" t="s">
        <v>176</v>
      </c>
      <c r="R149" s="372"/>
      <c r="S149" s="373">
        <f>I116-I122-S145</f>
        <v>2562033.95014253</v>
      </c>
      <c r="T149" s="90"/>
      <c r="U149" s="90"/>
      <c r="V149" s="90"/>
      <c r="W149" s="2"/>
      <c r="X149" s="2"/>
    </row>
    <row r="150" ht="16.5" customHeight="1" spans="1:24">
      <c r="A150" s="90"/>
      <c r="B150" s="354"/>
      <c r="C150" s="355"/>
      <c r="D150" s="355"/>
      <c r="E150" s="355"/>
      <c r="F150" s="356"/>
      <c r="G150" s="356"/>
      <c r="H150" s="356"/>
      <c r="I150" s="356"/>
      <c r="J150" s="356"/>
      <c r="K150" s="356"/>
      <c r="L150" s="356"/>
      <c r="M150" s="90"/>
      <c r="N150" s="90"/>
      <c r="O150" s="90"/>
      <c r="P150" s="90"/>
      <c r="T150" s="90"/>
      <c r="U150" s="90"/>
      <c r="V150" s="90"/>
      <c r="W150" s="2"/>
      <c r="X150" s="2"/>
    </row>
    <row r="151" ht="16.5" customHeight="1" spans="1:24">
      <c r="A151" s="90"/>
      <c r="B151" s="354" t="s">
        <v>193</v>
      </c>
      <c r="C151" s="355"/>
      <c r="D151" s="355"/>
      <c r="E151" s="355"/>
      <c r="F151" s="356"/>
      <c r="G151" s="356"/>
      <c r="H151" s="356"/>
      <c r="I151" s="356"/>
      <c r="J151" s="356"/>
      <c r="K151" s="356"/>
      <c r="L151" s="356"/>
      <c r="M151" s="90"/>
      <c r="N151" s="90"/>
      <c r="O151" s="90"/>
      <c r="P151" s="90"/>
      <c r="T151" s="90"/>
      <c r="U151" s="90"/>
      <c r="V151" s="90"/>
      <c r="W151" s="2"/>
      <c r="X151" s="2"/>
    </row>
    <row r="152" ht="16.85" spans="1:24">
      <c r="A152" s="90"/>
      <c r="B152" s="354" t="s">
        <v>194</v>
      </c>
      <c r="C152" s="355"/>
      <c r="D152" s="366">
        <v>1750000</v>
      </c>
      <c r="E152" s="366"/>
      <c r="F152" s="356"/>
      <c r="G152" s="356"/>
      <c r="H152" s="356">
        <f>-D152</f>
        <v>-1750000</v>
      </c>
      <c r="I152" s="356">
        <f>D152</f>
        <v>1750000</v>
      </c>
      <c r="J152" s="356">
        <f>I152*J142+I156-I163</f>
        <v>1558276.62303895</v>
      </c>
      <c r="K152" s="356">
        <f t="shared" ref="K152:L152" si="69">J152*K142+J156</f>
        <v>1558276.62303895</v>
      </c>
      <c r="L152" s="356">
        <f t="shared" si="69"/>
        <v>1558276.62303895</v>
      </c>
      <c r="M152" s="90"/>
      <c r="N152" s="90"/>
      <c r="O152" s="90"/>
      <c r="P152" s="90"/>
      <c r="T152" s="90"/>
      <c r="U152" s="90"/>
      <c r="V152" s="90"/>
      <c r="W152" s="2"/>
      <c r="X152" s="2"/>
    </row>
    <row r="153" ht="16.5" customHeight="1" spans="1:24">
      <c r="A153" s="90"/>
      <c r="B153" s="354" t="s">
        <v>195</v>
      </c>
      <c r="C153" s="355"/>
      <c r="D153" s="374">
        <v>0.06</v>
      </c>
      <c r="E153" s="366"/>
      <c r="F153" s="356"/>
      <c r="G153" s="356"/>
      <c r="H153" s="356"/>
      <c r="I153" s="356"/>
      <c r="J153" s="356"/>
      <c r="K153" s="356"/>
      <c r="L153" s="356"/>
      <c r="M153" s="90"/>
      <c r="N153" s="90"/>
      <c r="O153" s="90"/>
      <c r="P153" s="90"/>
      <c r="T153" s="90"/>
      <c r="U153" s="90"/>
      <c r="V153" s="90"/>
      <c r="W153" s="2"/>
      <c r="X153" s="2"/>
    </row>
    <row r="154" ht="16.5" customHeight="1" spans="1:24">
      <c r="A154" s="90"/>
      <c r="B154" s="354" t="s">
        <v>196</v>
      </c>
      <c r="C154" s="355"/>
      <c r="D154" s="355"/>
      <c r="E154" s="366"/>
      <c r="F154" s="356"/>
      <c r="G154" s="356"/>
      <c r="H154" s="356"/>
      <c r="I154" s="356">
        <v>0</v>
      </c>
      <c r="J154" s="356">
        <f t="shared" ref="J154:L154" si="70">$D$153*J152</f>
        <v>93496.597382337</v>
      </c>
      <c r="K154" s="356">
        <f t="shared" si="70"/>
        <v>93496.597382337</v>
      </c>
      <c r="L154" s="356">
        <f t="shared" si="70"/>
        <v>93496.597382337</v>
      </c>
      <c r="M154" s="90"/>
      <c r="N154" s="90"/>
      <c r="O154" s="90"/>
      <c r="P154" s="90"/>
      <c r="T154" s="90"/>
      <c r="U154" s="90"/>
      <c r="V154" s="90"/>
      <c r="W154" s="2"/>
      <c r="X154" s="2"/>
    </row>
    <row r="155" ht="17.6" spans="1:24">
      <c r="A155" s="90"/>
      <c r="B155" s="367" t="s">
        <v>197</v>
      </c>
      <c r="C155" s="368"/>
      <c r="D155" s="368"/>
      <c r="E155" s="370"/>
      <c r="F155" s="371"/>
      <c r="G155" s="371"/>
      <c r="H155" s="371"/>
      <c r="I155" s="371">
        <v>0</v>
      </c>
      <c r="J155" s="371">
        <f t="shared" ref="J155:L155" si="71">IF(J154&gt;J149,J149,J154)</f>
        <v>93496.597382337</v>
      </c>
      <c r="K155" s="371">
        <f t="shared" si="71"/>
        <v>93496.597382337</v>
      </c>
      <c r="L155" s="371">
        <f t="shared" si="71"/>
        <v>93496.597382337</v>
      </c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2"/>
      <c r="X155" s="2"/>
    </row>
    <row r="156" ht="16.5" customHeight="1" spans="1:24">
      <c r="A156" s="90"/>
      <c r="B156" s="354" t="s">
        <v>198</v>
      </c>
      <c r="C156" s="355"/>
      <c r="D156" s="355"/>
      <c r="E156" s="366"/>
      <c r="F156" s="356"/>
      <c r="G156" s="356"/>
      <c r="H156" s="356"/>
      <c r="I156" s="356">
        <v>0</v>
      </c>
      <c r="J156" s="356">
        <f t="shared" ref="J156:L156" si="72">J154-J155</f>
        <v>0</v>
      </c>
      <c r="K156" s="356">
        <f t="shared" si="72"/>
        <v>0</v>
      </c>
      <c r="L156" s="356">
        <f t="shared" si="72"/>
        <v>0</v>
      </c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2"/>
      <c r="X156" s="2"/>
    </row>
    <row r="157" ht="16.5" customHeight="1" spans="1:24">
      <c r="A157" s="90"/>
      <c r="B157" s="354" t="s">
        <v>199</v>
      </c>
      <c r="C157" s="355"/>
      <c r="D157" s="375">
        <f>D152</f>
        <v>1750000</v>
      </c>
      <c r="E157" s="366"/>
      <c r="F157" s="356"/>
      <c r="G157" s="356"/>
      <c r="H157" s="356"/>
      <c r="I157" s="356">
        <f t="shared" ref="I157:L157" si="73">I152</f>
        <v>1750000</v>
      </c>
      <c r="J157" s="356">
        <f t="shared" si="73"/>
        <v>1558276.62303895</v>
      </c>
      <c r="K157" s="356">
        <f t="shared" si="73"/>
        <v>1558276.62303895</v>
      </c>
      <c r="L157" s="356">
        <f t="shared" si="73"/>
        <v>1558276.62303895</v>
      </c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2"/>
      <c r="X157" s="2"/>
    </row>
    <row r="158" ht="16.5" customHeight="1" spans="1:24">
      <c r="A158" s="90"/>
      <c r="B158" s="354"/>
      <c r="C158" s="355"/>
      <c r="D158" s="355"/>
      <c r="E158" s="366"/>
      <c r="F158" s="356"/>
      <c r="G158" s="356"/>
      <c r="H158" s="356"/>
      <c r="I158" s="356"/>
      <c r="J158" s="356"/>
      <c r="K158" s="356"/>
      <c r="L158" s="356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2"/>
      <c r="X158" s="2"/>
    </row>
    <row r="159" ht="17.6" spans="1:24">
      <c r="A159" s="90"/>
      <c r="B159" s="354" t="s">
        <v>200</v>
      </c>
      <c r="C159" s="355"/>
      <c r="D159" s="355"/>
      <c r="E159" s="366"/>
      <c r="F159" s="356"/>
      <c r="G159" s="356"/>
      <c r="H159" s="356"/>
      <c r="I159" s="356">
        <v>0</v>
      </c>
      <c r="J159" s="356">
        <f t="shared" ref="J159:L159" si="74">J149-J155</f>
        <v>23214.4868845255</v>
      </c>
      <c r="K159" s="356">
        <f t="shared" si="74"/>
        <v>39619.2920789606</v>
      </c>
      <c r="L159" s="356">
        <f t="shared" si="74"/>
        <v>56764.8430292288</v>
      </c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2"/>
      <c r="X159" s="2"/>
    </row>
    <row r="160" ht="17.6" spans="1:24">
      <c r="A160" s="90"/>
      <c r="B160" s="367" t="s">
        <v>201</v>
      </c>
      <c r="C160" s="368"/>
      <c r="D160" s="376">
        <v>0.8</v>
      </c>
      <c r="E160" s="370"/>
      <c r="F160" s="371"/>
      <c r="G160" s="371"/>
      <c r="H160" s="371"/>
      <c r="I160" s="371">
        <v>0</v>
      </c>
      <c r="J160" s="371">
        <f t="shared" ref="J160:L160" si="75">$D$160*J$159</f>
        <v>18571.5895076204</v>
      </c>
      <c r="K160" s="371">
        <f t="shared" si="75"/>
        <v>31695.4336631685</v>
      </c>
      <c r="L160" s="371">
        <f t="shared" si="75"/>
        <v>45411.874423383</v>
      </c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2"/>
      <c r="X160" s="2"/>
    </row>
    <row r="161" ht="16.5" customHeight="1" spans="1:33">
      <c r="A161" s="90"/>
      <c r="B161" s="354" t="s">
        <v>154</v>
      </c>
      <c r="C161" s="377">
        <v>0.2</v>
      </c>
      <c r="D161" s="377">
        <f>1-D160</f>
        <v>0.2</v>
      </c>
      <c r="E161" s="366"/>
      <c r="F161" s="356"/>
      <c r="G161" s="356"/>
      <c r="H161" s="356"/>
      <c r="I161" s="356">
        <v>0</v>
      </c>
      <c r="J161" s="356">
        <f t="shared" ref="J161:L161" si="76">$D$161*J$159</f>
        <v>4642.8973769051</v>
      </c>
      <c r="K161" s="356">
        <f t="shared" si="76"/>
        <v>7923.85841579212</v>
      </c>
      <c r="L161" s="356">
        <f t="shared" si="76"/>
        <v>11352.9686058458</v>
      </c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2"/>
      <c r="X161" s="2"/>
    </row>
    <row r="162" ht="16.5" customHeight="1" spans="1:33">
      <c r="A162" s="90"/>
      <c r="B162" s="378"/>
      <c r="C162" s="355"/>
      <c r="D162" s="355"/>
      <c r="E162" s="366"/>
      <c r="F162" s="356"/>
      <c r="G162" s="356"/>
      <c r="H162" s="356"/>
      <c r="I162" s="356"/>
      <c r="J162" s="356"/>
      <c r="K162" s="356"/>
      <c r="L162" s="356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2"/>
      <c r="X162" s="2"/>
    </row>
    <row r="163" ht="17.6" spans="1:33">
      <c r="A163" s="90"/>
      <c r="B163" s="379" t="s">
        <v>202</v>
      </c>
      <c r="C163" s="380"/>
      <c r="D163" s="380"/>
      <c r="E163" s="381"/>
      <c r="F163" s="363"/>
      <c r="G163" s="363"/>
      <c r="H163" s="363"/>
      <c r="I163" s="363">
        <f>U140</f>
        <v>191723.376961051</v>
      </c>
      <c r="J163" s="363"/>
      <c r="K163" s="363"/>
      <c r="L163" s="363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2"/>
      <c r="X163" s="2"/>
    </row>
    <row r="164" ht="16.5" customHeight="1" spans="1:33">
      <c r="A164" s="90"/>
      <c r="B164" s="354"/>
      <c r="C164" s="355"/>
      <c r="D164" s="355"/>
      <c r="E164" s="366"/>
      <c r="F164" s="356"/>
      <c r="G164" s="356"/>
      <c r="H164" s="356"/>
      <c r="I164" s="356"/>
      <c r="J164" s="356"/>
      <c r="K164" s="356"/>
      <c r="L164" s="356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2"/>
      <c r="X164" s="2"/>
    </row>
    <row r="165" ht="16.5" customHeight="1" spans="1:33">
      <c r="A165" s="90"/>
      <c r="B165" s="354" t="s">
        <v>203</v>
      </c>
      <c r="C165" s="355"/>
      <c r="D165" s="366"/>
      <c r="E165" s="366"/>
      <c r="F165" s="356"/>
      <c r="G165" s="356"/>
      <c r="H165" s="356"/>
      <c r="I165" s="356"/>
      <c r="J165" s="356"/>
      <c r="K165" s="356"/>
      <c r="L165" s="356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2"/>
      <c r="X165" s="2"/>
    </row>
    <row r="166" ht="18.75" spans="1:33">
      <c r="A166" s="90"/>
      <c r="B166" s="382" t="s">
        <v>204</v>
      </c>
      <c r="C166" s="383"/>
      <c r="D166" s="384"/>
      <c r="E166" s="384"/>
      <c r="F166" s="385"/>
      <c r="G166" s="385"/>
      <c r="H166" s="385"/>
      <c r="I166" s="385"/>
      <c r="J166" s="385"/>
      <c r="K166" s="385"/>
      <c r="L166" s="385">
        <f>U120</f>
        <v>1280794.12402213</v>
      </c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2"/>
      <c r="X166" s="2"/>
    </row>
    <row r="167" ht="17.6" spans="1:33">
      <c r="A167" s="90"/>
      <c r="B167" s="367" t="s">
        <v>205</v>
      </c>
      <c r="C167" s="386"/>
      <c r="D167" s="387"/>
      <c r="E167" s="387"/>
      <c r="F167" s="388"/>
      <c r="G167" s="388"/>
      <c r="H167" s="388"/>
      <c r="I167" s="388"/>
      <c r="J167" s="388"/>
      <c r="K167" s="388"/>
      <c r="L167" s="388">
        <f t="shared" ref="L167:L168" si="77">U119</f>
        <v>1558276.62303895</v>
      </c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2"/>
      <c r="X167" s="2"/>
    </row>
    <row r="168" ht="16.5" customHeight="1" spans="1:33">
      <c r="A168" s="90"/>
      <c r="B168" s="354" t="s">
        <v>206</v>
      </c>
      <c r="C168" s="355"/>
      <c r="D168" s="366"/>
      <c r="E168" s="366"/>
      <c r="F168" s="356"/>
      <c r="G168" s="356"/>
      <c r="H168" s="356"/>
      <c r="I168" s="356"/>
      <c r="J168" s="356"/>
      <c r="K168" s="356"/>
      <c r="L168" s="356">
        <f t="shared" si="77"/>
        <v>1280794.12402213</v>
      </c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2"/>
      <c r="X168" s="2"/>
    </row>
    <row r="169" ht="16.5" customHeight="1" spans="1:33">
      <c r="A169" s="90"/>
      <c r="B169" s="354"/>
      <c r="C169" s="355"/>
      <c r="D169" s="366"/>
      <c r="E169" s="366"/>
      <c r="F169" s="356"/>
      <c r="G169" s="356"/>
      <c r="H169" s="356"/>
      <c r="I169" s="356"/>
      <c r="J169" s="356"/>
      <c r="K169" s="356"/>
      <c r="L169" s="356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2"/>
      <c r="X169" s="2"/>
    </row>
    <row r="170" ht="17.6" spans="1:33">
      <c r="A170" s="90"/>
      <c r="B170" s="367" t="s">
        <v>207</v>
      </c>
      <c r="C170" s="368"/>
      <c r="D170" s="376">
        <v>0.8</v>
      </c>
      <c r="E170" s="370"/>
      <c r="F170" s="371"/>
      <c r="G170" s="371"/>
      <c r="H170" s="371"/>
      <c r="I170" s="371"/>
      <c r="J170" s="371"/>
      <c r="K170" s="371"/>
      <c r="L170" s="371">
        <f>D170*L168</f>
        <v>1024635.29921771</v>
      </c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2"/>
      <c r="X170" s="2"/>
    </row>
    <row r="171" ht="16.5" customHeight="1" spans="1:33">
      <c r="A171" s="90"/>
      <c r="B171" s="354" t="s">
        <v>154</v>
      </c>
      <c r="C171" s="377">
        <v>0.2</v>
      </c>
      <c r="D171" s="377">
        <f>1-D170</f>
        <v>0.2</v>
      </c>
      <c r="E171" s="366"/>
      <c r="F171" s="356"/>
      <c r="G171" s="356"/>
      <c r="H171" s="356"/>
      <c r="I171" s="356"/>
      <c r="J171" s="356"/>
      <c r="K171" s="356"/>
      <c r="L171" s="356">
        <f>D171*L168</f>
        <v>256158.824804427</v>
      </c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2"/>
      <c r="X171" s="2"/>
    </row>
    <row r="172" ht="16.5" customHeight="1" spans="1:33">
      <c r="A172" s="90"/>
      <c r="B172" s="354"/>
      <c r="C172" s="355"/>
      <c r="D172" s="355"/>
      <c r="E172" s="366"/>
      <c r="F172" s="356"/>
      <c r="G172" s="356"/>
      <c r="H172" s="356"/>
      <c r="I172" s="356"/>
      <c r="J172" s="356"/>
      <c r="K172" s="356"/>
      <c r="L172" s="356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2"/>
      <c r="X172" s="2"/>
    </row>
    <row r="173" ht="16.5" customHeight="1" spans="1:33">
      <c r="A173" s="90"/>
      <c r="B173" s="354" t="s">
        <v>208</v>
      </c>
      <c r="C173" s="355"/>
      <c r="D173" s="355"/>
      <c r="E173" s="355"/>
      <c r="F173" s="356"/>
      <c r="G173" s="356"/>
      <c r="H173" s="356"/>
      <c r="I173" s="356"/>
      <c r="J173" s="356"/>
      <c r="K173" s="356"/>
      <c r="L173" s="356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2"/>
      <c r="X173" s="2"/>
    </row>
    <row r="174" ht="16.5" customHeight="1" spans="1:33">
      <c r="A174" s="90"/>
      <c r="B174" s="389"/>
      <c r="C174" s="390"/>
      <c r="D174" s="391"/>
      <c r="E174" s="392"/>
      <c r="F174" s="393"/>
      <c r="G174" s="393"/>
      <c r="H174" s="393"/>
      <c r="I174" s="393"/>
      <c r="J174" s="393"/>
      <c r="K174" s="393"/>
      <c r="L174" s="393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ht="17.6" spans="1:33">
      <c r="A175" s="90"/>
      <c r="B175" s="367" t="s">
        <v>209</v>
      </c>
      <c r="C175" s="368"/>
      <c r="D175" s="370"/>
      <c r="E175" s="394"/>
      <c r="F175" s="371"/>
      <c r="G175" s="371"/>
      <c r="H175" s="371">
        <f>-D152</f>
        <v>-1750000</v>
      </c>
      <c r="I175" s="371">
        <f t="shared" ref="I175:L175" si="78">I160+I155+I170+I167+I163</f>
        <v>191723.376961051</v>
      </c>
      <c r="J175" s="371">
        <f t="shared" si="78"/>
        <v>112068.186889957</v>
      </c>
      <c r="K175" s="371">
        <f t="shared" si="78"/>
        <v>125192.031045505</v>
      </c>
      <c r="L175" s="371">
        <f t="shared" si="78"/>
        <v>2721820.39406238</v>
      </c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ht="16.85" spans="1:33">
      <c r="A176" s="90"/>
      <c r="B176" s="389" t="s">
        <v>210</v>
      </c>
      <c r="C176" s="390"/>
      <c r="D176" s="391"/>
      <c r="E176" s="395"/>
      <c r="F176" s="396"/>
      <c r="G176" s="396"/>
      <c r="H176" s="396"/>
      <c r="I176" s="396">
        <f t="shared" ref="I176:L176" si="79">I175/I152</f>
        <v>0.109556215406315</v>
      </c>
      <c r="J176" s="396">
        <f t="shared" si="79"/>
        <v>0.0719180312616139</v>
      </c>
      <c r="K176" s="396">
        <f t="shared" si="79"/>
        <v>0.0803400559275259</v>
      </c>
      <c r="L176" s="396">
        <f t="shared" si="79"/>
        <v>1.74668627753286</v>
      </c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2"/>
      <c r="X176" s="2"/>
    </row>
    <row r="177" ht="18" spans="1:33">
      <c r="A177" s="90"/>
      <c r="B177" s="397" t="s">
        <v>211</v>
      </c>
      <c r="C177" s="398"/>
      <c r="D177" s="399"/>
      <c r="E177" s="399"/>
      <c r="F177" s="399"/>
      <c r="G177" s="400">
        <f>SUM(I175:L175)/-H175</f>
        <v>1.80045942226222</v>
      </c>
      <c r="H177" s="401"/>
      <c r="I177" s="401"/>
      <c r="J177" s="401"/>
      <c r="K177" s="401"/>
      <c r="L177" s="401"/>
      <c r="M177" s="90"/>
      <c r="N177" s="90"/>
      <c r="O177" s="90"/>
      <c r="P177" s="90"/>
      <c r="Q177" s="402"/>
      <c r="R177" s="90"/>
      <c r="S177" s="90"/>
      <c r="T177" s="90"/>
      <c r="U177" s="90"/>
      <c r="V177" s="90"/>
      <c r="W177" s="2"/>
      <c r="X177" s="2"/>
    </row>
    <row r="178" ht="18.75" spans="1:33">
      <c r="A178" s="90"/>
      <c r="B178" s="403" t="s">
        <v>212</v>
      </c>
      <c r="C178" s="404"/>
      <c r="D178" s="405"/>
      <c r="E178" s="405"/>
      <c r="F178" s="405"/>
      <c r="G178" s="406">
        <f>IRR(H175:L175)</f>
        <v>0.17489637690612</v>
      </c>
      <c r="H178" s="407"/>
      <c r="I178" s="407"/>
      <c r="J178" s="407"/>
      <c r="K178" s="407"/>
      <c r="L178" s="407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2"/>
      <c r="X178" s="2"/>
    </row>
    <row r="179" ht="13.5" customHeight="1" spans="1:33">
      <c r="A179" s="90"/>
      <c r="B179" s="111"/>
      <c r="C179" s="408"/>
      <c r="D179" s="408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  <c r="AA179" s="2"/>
      <c r="AB179" s="2"/>
      <c r="AC179" s="2"/>
      <c r="AD179" s="2"/>
      <c r="AE179" s="2"/>
      <c r="AF179" s="2"/>
      <c r="AG179" s="2"/>
    </row>
    <row r="180" ht="13.5" customHeight="1" spans="1:33">
      <c r="A180" s="90"/>
      <c r="B180" s="111"/>
      <c r="C180" s="408"/>
      <c r="D180" s="408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2"/>
      <c r="AB180" s="2"/>
      <c r="AC180" s="2"/>
      <c r="AD180" s="2"/>
      <c r="AE180" s="2"/>
      <c r="AF180" s="2"/>
      <c r="AG180" s="2"/>
    </row>
    <row r="181" ht="13.5" customHeight="1" spans="1:33">
      <c r="A181" s="90"/>
      <c r="B181" s="90" t="s">
        <v>213</v>
      </c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2"/>
      <c r="AB181" s="2"/>
      <c r="AC181" s="2"/>
      <c r="AD181" s="2"/>
      <c r="AE181" s="2"/>
      <c r="AF181" s="2"/>
      <c r="AG181" s="2"/>
    </row>
    <row r="182" ht="13.5" customHeight="1" spans="1:33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2"/>
      <c r="AB182" s="2"/>
      <c r="AC182" s="2"/>
      <c r="AD182" s="2"/>
      <c r="AE182" s="2"/>
      <c r="AF182" s="2"/>
      <c r="AG182" s="2"/>
    </row>
    <row r="183" ht="13.5" customHeight="1" spans="1:33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2"/>
      <c r="AB183" s="2"/>
      <c r="AC183" s="2"/>
      <c r="AD183" s="2"/>
      <c r="AE183" s="2"/>
      <c r="AF183" s="2"/>
      <c r="AG183" s="2"/>
    </row>
    <row r="184" ht="13.5" customHeight="1" spans="1:33">
      <c r="A184" s="90"/>
      <c r="B184" s="90"/>
      <c r="C184" s="90"/>
      <c r="D184" s="90"/>
      <c r="E184" s="90"/>
      <c r="F184" s="90"/>
      <c r="G184" s="192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2"/>
      <c r="AB184" s="2"/>
      <c r="AC184" s="2"/>
      <c r="AD184" s="2"/>
      <c r="AE184" s="2"/>
      <c r="AF184" s="2"/>
      <c r="AG184" s="2"/>
    </row>
    <row r="185" ht="13.5" customHeight="1" spans="1:33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  <c r="AA185" s="2"/>
      <c r="AB185" s="2"/>
      <c r="AC185" s="2"/>
      <c r="AD185" s="2"/>
      <c r="AE185" s="2"/>
      <c r="AF185" s="2"/>
      <c r="AG185" s="2"/>
    </row>
    <row r="186" ht="14.25" spans="1:33">
      <c r="A186" s="90"/>
      <c r="B186" s="90"/>
      <c r="C186" s="90"/>
      <c r="D186" s="321"/>
      <c r="E186" s="321"/>
      <c r="F186" s="321"/>
      <c r="G186" s="321"/>
      <c r="H186" s="90"/>
      <c r="I186" s="90"/>
      <c r="J186" s="90"/>
      <c r="K186" s="90"/>
      <c r="L186" s="409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2"/>
      <c r="AB186" s="2"/>
      <c r="AC186" s="2"/>
      <c r="AD186" s="2"/>
      <c r="AE186" s="2"/>
      <c r="AF186" s="2"/>
      <c r="AG186" s="2"/>
    </row>
    <row r="187" ht="13.5" customHeight="1" spans="1:33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2"/>
      <c r="AB187" s="2"/>
      <c r="AC187" s="2"/>
      <c r="AD187" s="2"/>
      <c r="AE187" s="2"/>
      <c r="AF187" s="2"/>
      <c r="AG187" s="2"/>
    </row>
    <row r="188" ht="13.5" customHeight="1" spans="1:33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2"/>
      <c r="AB188" s="2"/>
      <c r="AC188" s="2"/>
      <c r="AD188" s="2"/>
      <c r="AE188" s="2"/>
      <c r="AF188" s="2"/>
      <c r="AG188" s="2"/>
    </row>
    <row r="189" ht="13.5" customHeight="1" spans="1:33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2"/>
      <c r="AB189" s="2"/>
      <c r="AC189" s="2"/>
      <c r="AD189" s="2"/>
      <c r="AE189" s="2"/>
      <c r="AF189" s="2"/>
      <c r="AG189" s="2"/>
    </row>
    <row r="190" ht="13.5" customHeight="1" spans="1:33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2"/>
      <c r="AB190" s="2"/>
      <c r="AC190" s="2"/>
      <c r="AD190" s="2"/>
      <c r="AE190" s="2"/>
      <c r="AF190" s="2"/>
      <c r="AG190" s="2"/>
    </row>
    <row r="191" ht="13.5" customHeight="1" spans="1:33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  <c r="AA191" s="2"/>
      <c r="AB191" s="2"/>
      <c r="AC191" s="2"/>
      <c r="AD191" s="2"/>
      <c r="AE191" s="2"/>
      <c r="AF191" s="2"/>
      <c r="AG191" s="2"/>
    </row>
    <row r="192" ht="13.5" customHeight="1" spans="1:33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2"/>
      <c r="AB192" s="2"/>
      <c r="AC192" s="2"/>
      <c r="AD192" s="2"/>
      <c r="AE192" s="2"/>
      <c r="AF192" s="2"/>
      <c r="AG192" s="2"/>
    </row>
    <row r="193" ht="13.5" customHeight="1" spans="1:33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2"/>
      <c r="AB193" s="2"/>
      <c r="AC193" s="2"/>
      <c r="AD193" s="2"/>
      <c r="AE193" s="2"/>
      <c r="AF193" s="2"/>
      <c r="AG193" s="2"/>
    </row>
    <row r="194" ht="13.5" customHeight="1" spans="1:33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2"/>
      <c r="AB194" s="2"/>
      <c r="AC194" s="2"/>
      <c r="AD194" s="2"/>
      <c r="AE194" s="2"/>
      <c r="AF194" s="2"/>
      <c r="AG194" s="2"/>
    </row>
    <row r="195" ht="13.5" customHeight="1" spans="1:33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  <c r="AA195" s="2"/>
      <c r="AB195" s="2"/>
      <c r="AC195" s="2"/>
      <c r="AD195" s="2"/>
      <c r="AE195" s="2"/>
      <c r="AF195" s="2"/>
      <c r="AG195" s="2"/>
    </row>
    <row r="196" ht="13.5" customHeight="1" spans="1:33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2"/>
      <c r="AB196" s="2"/>
      <c r="AC196" s="2"/>
      <c r="AD196" s="2"/>
      <c r="AE196" s="2"/>
      <c r="AF196" s="2"/>
      <c r="AG196" s="2"/>
    </row>
    <row r="197" ht="13.5" customHeight="1" spans="1:33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2"/>
      <c r="AB197" s="2"/>
      <c r="AC197" s="2"/>
      <c r="AD197" s="2"/>
      <c r="AE197" s="2"/>
      <c r="AF197" s="2"/>
      <c r="AG197" s="2"/>
    </row>
    <row r="198" ht="13.5" customHeight="1" spans="1:33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2"/>
      <c r="AB198" s="2"/>
      <c r="AC198" s="2"/>
      <c r="AD198" s="2"/>
      <c r="AE198" s="2"/>
      <c r="AF198" s="2"/>
      <c r="AG198" s="2"/>
    </row>
    <row r="199" ht="13.5" customHeight="1" spans="1:33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2"/>
      <c r="AB199" s="2"/>
      <c r="AC199" s="2"/>
      <c r="AD199" s="2"/>
      <c r="AE199" s="2"/>
      <c r="AF199" s="2"/>
      <c r="AG199" s="2"/>
    </row>
    <row r="200" ht="13.5" customHeight="1" spans="1:33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2"/>
      <c r="AB200" s="2"/>
      <c r="AC200" s="2"/>
      <c r="AD200" s="2"/>
      <c r="AE200" s="2"/>
      <c r="AF200" s="2"/>
      <c r="AG200" s="2"/>
    </row>
    <row r="201" ht="13.5" customHeight="1" spans="1:33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  <c r="AA201" s="2"/>
      <c r="AB201" s="2"/>
      <c r="AC201" s="2"/>
      <c r="AD201" s="2"/>
      <c r="AE201" s="2"/>
      <c r="AF201" s="2"/>
      <c r="AG201" s="2"/>
    </row>
    <row r="202" ht="13.5" customHeight="1" spans="1:33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2"/>
      <c r="AB202" s="2"/>
      <c r="AC202" s="2"/>
      <c r="AD202" s="2"/>
      <c r="AE202" s="2"/>
      <c r="AF202" s="2"/>
      <c r="AG202" s="2"/>
    </row>
    <row r="203" ht="13.5" customHeight="1" spans="1:33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2"/>
      <c r="AB203" s="2"/>
      <c r="AC203" s="2"/>
      <c r="AD203" s="2"/>
      <c r="AE203" s="2"/>
      <c r="AF203" s="2"/>
      <c r="AG203" s="2"/>
    </row>
    <row r="204" ht="13.5" customHeight="1" spans="1:33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2"/>
      <c r="AB204" s="2"/>
      <c r="AC204" s="2"/>
      <c r="AD204" s="2"/>
      <c r="AE204" s="2"/>
      <c r="AF204" s="2"/>
      <c r="AG204" s="2"/>
    </row>
    <row r="205" ht="13.5" customHeight="1" spans="1:33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  <c r="AA205" s="2"/>
      <c r="AB205" s="2"/>
      <c r="AC205" s="2"/>
      <c r="AD205" s="2"/>
      <c r="AE205" s="2"/>
      <c r="AF205" s="2"/>
      <c r="AG205" s="2"/>
    </row>
    <row r="206" ht="13.5" customHeight="1" spans="1:33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2"/>
      <c r="AB206" s="2"/>
      <c r="AC206" s="2"/>
      <c r="AD206" s="2"/>
      <c r="AE206" s="2"/>
      <c r="AF206" s="2"/>
      <c r="AG206" s="2"/>
    </row>
    <row r="207" ht="13.5" customHeight="1" spans="1:33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  <c r="AA207" s="2"/>
      <c r="AB207" s="2"/>
      <c r="AC207" s="2"/>
      <c r="AD207" s="2"/>
      <c r="AE207" s="2"/>
      <c r="AF207" s="2"/>
      <c r="AG207" s="2"/>
    </row>
    <row r="208" ht="13.5" customHeight="1" spans="1:33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2"/>
      <c r="AB208" s="2"/>
      <c r="AC208" s="2"/>
      <c r="AD208" s="2"/>
      <c r="AE208" s="2"/>
      <c r="AF208" s="2"/>
      <c r="AG208" s="2"/>
    </row>
    <row r="209" ht="13.5" customHeight="1" spans="1:33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  <c r="AA209" s="2"/>
      <c r="AB209" s="2"/>
      <c r="AC209" s="2"/>
      <c r="AD209" s="2"/>
      <c r="AE209" s="2"/>
      <c r="AF209" s="2"/>
      <c r="AG209" s="2"/>
    </row>
    <row r="210" ht="13.5" customHeight="1" spans="1:33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2"/>
      <c r="AB210" s="2"/>
      <c r="AC210" s="2"/>
      <c r="AD210" s="2"/>
      <c r="AE210" s="2"/>
      <c r="AF210" s="2"/>
      <c r="AG210" s="2"/>
    </row>
    <row r="211" ht="13.5" customHeight="1" spans="1:33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  <c r="AA211" s="2"/>
      <c r="AB211" s="2"/>
      <c r="AC211" s="2"/>
      <c r="AD211" s="2"/>
      <c r="AE211" s="2"/>
      <c r="AF211" s="2"/>
      <c r="AG211" s="2"/>
    </row>
    <row r="212" ht="13.5" customHeight="1" spans="1:33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2"/>
      <c r="AB212" s="2"/>
      <c r="AC212" s="2"/>
      <c r="AD212" s="2"/>
      <c r="AE212" s="2"/>
      <c r="AF212" s="2"/>
      <c r="AG212" s="2"/>
    </row>
    <row r="213" ht="13.5" customHeight="1" spans="1:33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  <c r="AA213" s="2"/>
      <c r="AB213" s="2"/>
      <c r="AC213" s="2"/>
      <c r="AD213" s="2"/>
      <c r="AE213" s="2"/>
      <c r="AF213" s="2"/>
      <c r="AG213" s="2"/>
    </row>
    <row r="214" ht="13.5" customHeight="1" spans="1:33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2"/>
      <c r="AB214" s="2"/>
      <c r="AC214" s="2"/>
      <c r="AD214" s="2"/>
      <c r="AE214" s="2"/>
      <c r="AF214" s="2"/>
      <c r="AG214" s="2"/>
    </row>
    <row r="215" ht="13.5" customHeight="1" spans="1:33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2"/>
      <c r="AB215" s="2"/>
      <c r="AC215" s="2"/>
      <c r="AD215" s="2"/>
      <c r="AE215" s="2"/>
      <c r="AF215" s="2"/>
      <c r="AG215" s="2"/>
    </row>
    <row r="216" ht="13.5" customHeight="1" spans="1:33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2"/>
      <c r="AB216" s="2"/>
      <c r="AC216" s="2"/>
      <c r="AD216" s="2"/>
      <c r="AE216" s="2"/>
      <c r="AF216" s="2"/>
      <c r="AG216" s="2"/>
    </row>
    <row r="217" ht="13.5" customHeight="1" spans="1:33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  <c r="AA217" s="2"/>
      <c r="AB217" s="2"/>
      <c r="AC217" s="2"/>
      <c r="AD217" s="2"/>
      <c r="AE217" s="2"/>
      <c r="AF217" s="2"/>
      <c r="AG217" s="2"/>
    </row>
    <row r="218" ht="13.5" customHeight="1" spans="1:33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2"/>
      <c r="AB218" s="2"/>
      <c r="AC218" s="2"/>
      <c r="AD218" s="2"/>
      <c r="AE218" s="2"/>
      <c r="AF218" s="2"/>
      <c r="AG218" s="2"/>
    </row>
    <row r="219" ht="13.5" customHeight="1" spans="1:33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  <c r="AA219" s="2"/>
      <c r="AB219" s="2"/>
      <c r="AC219" s="2"/>
      <c r="AD219" s="2"/>
      <c r="AE219" s="2"/>
      <c r="AF219" s="2"/>
      <c r="AG219" s="2"/>
    </row>
    <row r="220" ht="13.5" customHeight="1" spans="1:33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2"/>
      <c r="AB220" s="2"/>
      <c r="AC220" s="2"/>
      <c r="AD220" s="2"/>
      <c r="AE220" s="2"/>
      <c r="AF220" s="2"/>
      <c r="AG220" s="2"/>
    </row>
    <row r="221" ht="13.5" customHeight="1" spans="1:33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2"/>
      <c r="AB221" s="2"/>
      <c r="AC221" s="2"/>
      <c r="AD221" s="2"/>
      <c r="AE221" s="2"/>
      <c r="AF221" s="2"/>
      <c r="AG221" s="2"/>
    </row>
    <row r="222" ht="13.5" customHeight="1" spans="1:33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  <c r="AA222" s="2"/>
      <c r="AB222" s="2"/>
      <c r="AC222" s="2"/>
      <c r="AD222" s="2"/>
      <c r="AE222" s="2"/>
      <c r="AF222" s="2"/>
      <c r="AG222" s="2"/>
    </row>
    <row r="223" ht="13.5" customHeight="1" spans="1:33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  <c r="AA223" s="2"/>
      <c r="AB223" s="2"/>
      <c r="AC223" s="2"/>
      <c r="AD223" s="2"/>
      <c r="AE223" s="2"/>
      <c r="AF223" s="2"/>
      <c r="AG223" s="2"/>
    </row>
    <row r="224" ht="13.5" customHeight="1" spans="1:33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2"/>
      <c r="AB224" s="2"/>
      <c r="AC224" s="2"/>
      <c r="AD224" s="2"/>
      <c r="AE224" s="2"/>
      <c r="AF224" s="2"/>
      <c r="AG224" s="2"/>
    </row>
    <row r="225" ht="13.5" customHeight="1" spans="1:33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  <c r="AA225" s="2"/>
      <c r="AB225" s="2"/>
      <c r="AC225" s="2"/>
      <c r="AD225" s="2"/>
      <c r="AE225" s="2"/>
      <c r="AF225" s="2"/>
      <c r="AG225" s="2"/>
    </row>
    <row r="226" ht="13.5" customHeight="1" spans="1:33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2"/>
      <c r="AB226" s="2"/>
      <c r="AC226" s="2"/>
      <c r="AD226" s="2"/>
      <c r="AE226" s="2"/>
      <c r="AF226" s="2"/>
      <c r="AG226" s="2"/>
    </row>
    <row r="227" ht="13.5" customHeight="1" spans="1:33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  <c r="AA227" s="2"/>
      <c r="AB227" s="2"/>
      <c r="AC227" s="2"/>
      <c r="AD227" s="2"/>
      <c r="AE227" s="2"/>
      <c r="AF227" s="2"/>
      <c r="AG227" s="2"/>
    </row>
    <row r="228" ht="13.5" customHeight="1" spans="1:33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  <c r="AA228" s="2"/>
      <c r="AB228" s="2"/>
      <c r="AC228" s="2"/>
      <c r="AD228" s="2"/>
      <c r="AE228" s="2"/>
      <c r="AF228" s="2"/>
      <c r="AG228" s="2"/>
    </row>
    <row r="229" ht="13.5" customHeight="1" spans="1:33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  <c r="AA229" s="2"/>
      <c r="AB229" s="2"/>
      <c r="AC229" s="2"/>
      <c r="AD229" s="2"/>
      <c r="AE229" s="2"/>
      <c r="AF229" s="2"/>
      <c r="AG229" s="2"/>
    </row>
    <row r="230" ht="13.5" customHeight="1" spans="1:33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2"/>
      <c r="AB230" s="2"/>
      <c r="AC230" s="2"/>
      <c r="AD230" s="2"/>
      <c r="AE230" s="2"/>
      <c r="AF230" s="2"/>
      <c r="AG230" s="2"/>
    </row>
    <row r="231" ht="13.5" customHeight="1" spans="1:33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2"/>
      <c r="AB231" s="2"/>
      <c r="AC231" s="2"/>
      <c r="AD231" s="2"/>
      <c r="AE231" s="2"/>
      <c r="AF231" s="2"/>
      <c r="AG231" s="2"/>
    </row>
    <row r="232" ht="13.5" customHeight="1" spans="1:33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2"/>
      <c r="AB232" s="2"/>
      <c r="AC232" s="2"/>
      <c r="AD232" s="2"/>
      <c r="AE232" s="2"/>
      <c r="AF232" s="2"/>
      <c r="AG232" s="2"/>
    </row>
    <row r="233" ht="13.5" customHeight="1" spans="1:33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2"/>
      <c r="AB233" s="2"/>
      <c r="AC233" s="2"/>
      <c r="AD233" s="2"/>
      <c r="AE233" s="2"/>
      <c r="AF233" s="2"/>
      <c r="AG233" s="2"/>
    </row>
    <row r="234" ht="13.5" customHeight="1" spans="1:33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2"/>
      <c r="AB234" s="2"/>
      <c r="AC234" s="2"/>
      <c r="AD234" s="2"/>
      <c r="AE234" s="2"/>
      <c r="AF234" s="2"/>
      <c r="AG234" s="2"/>
    </row>
    <row r="235" ht="13.5" customHeight="1" spans="1:33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  <c r="AA235" s="2"/>
      <c r="AB235" s="2"/>
      <c r="AC235" s="2"/>
      <c r="AD235" s="2"/>
      <c r="AE235" s="2"/>
      <c r="AF235" s="2"/>
      <c r="AG235" s="2"/>
    </row>
    <row r="236" ht="13.5" customHeight="1" spans="1:33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2"/>
      <c r="AB236" s="2"/>
      <c r="AC236" s="2"/>
      <c r="AD236" s="2"/>
      <c r="AE236" s="2"/>
      <c r="AF236" s="2"/>
      <c r="AG236" s="2"/>
    </row>
    <row r="237" ht="13.5" customHeight="1" spans="1:33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2"/>
      <c r="AB237" s="2"/>
      <c r="AC237" s="2"/>
      <c r="AD237" s="2"/>
      <c r="AE237" s="2"/>
      <c r="AF237" s="2"/>
      <c r="AG237" s="2"/>
    </row>
    <row r="238" ht="13.5" customHeight="1" spans="1:33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2"/>
      <c r="AB238" s="2"/>
      <c r="AC238" s="2"/>
      <c r="AD238" s="2"/>
      <c r="AE238" s="2"/>
      <c r="AF238" s="2"/>
      <c r="AG238" s="2"/>
    </row>
    <row r="239" ht="13.5" customHeight="1" spans="1:33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2"/>
      <c r="AB239" s="2"/>
      <c r="AC239" s="2"/>
      <c r="AD239" s="2"/>
      <c r="AE239" s="2"/>
      <c r="AF239" s="2"/>
      <c r="AG239" s="2"/>
    </row>
    <row r="240" ht="13.5" customHeight="1" spans="1:33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2"/>
      <c r="AB240" s="2"/>
      <c r="AC240" s="2"/>
      <c r="AD240" s="2"/>
      <c r="AE240" s="2"/>
      <c r="AF240" s="2"/>
      <c r="AG240" s="2"/>
    </row>
    <row r="241" ht="13.5" customHeight="1" spans="1:33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2"/>
      <c r="AB241" s="2"/>
      <c r="AC241" s="2"/>
      <c r="AD241" s="2"/>
      <c r="AE241" s="2"/>
      <c r="AF241" s="2"/>
      <c r="AG241" s="2"/>
    </row>
    <row r="242" ht="13.5" customHeight="1" spans="1:33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2"/>
      <c r="AB242" s="2"/>
      <c r="AC242" s="2"/>
      <c r="AD242" s="2"/>
      <c r="AE242" s="2"/>
      <c r="AF242" s="2"/>
      <c r="AG242" s="2"/>
    </row>
    <row r="243" ht="13.5" customHeight="1" spans="1:33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  <c r="AA243" s="2"/>
      <c r="AB243" s="2"/>
      <c r="AC243" s="2"/>
      <c r="AD243" s="2"/>
      <c r="AE243" s="2"/>
      <c r="AF243" s="2"/>
      <c r="AG243" s="2"/>
    </row>
    <row r="244" ht="13.5" customHeight="1" spans="1:33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2"/>
      <c r="AB244" s="2"/>
      <c r="AC244" s="2"/>
      <c r="AD244" s="2"/>
      <c r="AE244" s="2"/>
      <c r="AF244" s="2"/>
      <c r="AG244" s="2"/>
    </row>
    <row r="245" ht="13.5" customHeight="1" spans="1:33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  <c r="AA245" s="2"/>
      <c r="AB245" s="2"/>
      <c r="AC245" s="2"/>
      <c r="AD245" s="2"/>
      <c r="AE245" s="2"/>
      <c r="AF245" s="2"/>
      <c r="AG245" s="2"/>
    </row>
    <row r="246" ht="13.5" customHeight="1" spans="1:33">
      <c r="A246" s="90"/>
      <c r="B246" s="90"/>
      <c r="C246" s="90"/>
      <c r="D246" s="90">
        <v>188874</v>
      </c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2"/>
      <c r="AB246" s="2"/>
      <c r="AC246" s="2"/>
      <c r="AD246" s="2"/>
      <c r="AE246" s="2"/>
      <c r="AF246" s="2"/>
      <c r="AG246" s="2"/>
    </row>
    <row r="247" ht="13.5" customHeight="1" spans="1:33">
      <c r="A247" s="90"/>
      <c r="B247" s="90"/>
      <c r="C247" s="90"/>
      <c r="D247" s="90">
        <f>D246/0.065</f>
        <v>2905753.84615385</v>
      </c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2"/>
      <c r="AB247" s="2"/>
      <c r="AC247" s="2"/>
      <c r="AD247" s="2"/>
      <c r="AE247" s="2"/>
      <c r="AF247" s="2"/>
      <c r="AG247" s="2"/>
    </row>
    <row r="248" ht="13.5" customHeight="1" spans="1:33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2"/>
      <c r="AB248" s="2"/>
      <c r="AC248" s="2"/>
      <c r="AD248" s="2"/>
      <c r="AE248" s="2"/>
      <c r="AF248" s="2"/>
      <c r="AG248" s="2"/>
    </row>
    <row r="249" ht="13.5" customHeight="1" spans="1:33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2"/>
      <c r="AB249" s="2"/>
      <c r="AC249" s="2"/>
      <c r="AD249" s="2"/>
      <c r="AE249" s="2"/>
      <c r="AF249" s="2"/>
      <c r="AG249" s="2"/>
    </row>
    <row r="250" ht="13.5" customHeight="1" spans="1:33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2"/>
      <c r="AB250" s="2"/>
      <c r="AC250" s="2"/>
      <c r="AD250" s="2"/>
      <c r="AE250" s="2"/>
      <c r="AF250" s="2"/>
      <c r="AG250" s="2"/>
    </row>
    <row r="251" ht="13.5" customHeight="1" spans="1:33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2"/>
      <c r="AB251" s="2"/>
      <c r="AC251" s="2"/>
      <c r="AD251" s="2"/>
      <c r="AE251" s="2"/>
      <c r="AF251" s="2"/>
      <c r="AG251" s="2"/>
    </row>
    <row r="252" ht="13.5" customHeight="1" spans="1:33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2"/>
      <c r="AB252" s="2"/>
      <c r="AC252" s="2"/>
      <c r="AD252" s="2"/>
      <c r="AE252" s="2"/>
      <c r="AF252" s="2"/>
      <c r="AG252" s="2"/>
    </row>
    <row r="253" ht="13.5" customHeight="1" spans="1:33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2"/>
      <c r="AB253" s="2"/>
      <c r="AC253" s="2"/>
      <c r="AD253" s="2"/>
      <c r="AE253" s="2"/>
      <c r="AF253" s="2"/>
      <c r="AG253" s="2"/>
    </row>
    <row r="254" ht="13.5" customHeight="1" spans="1:33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2"/>
      <c r="AB254" s="2"/>
      <c r="AC254" s="2"/>
      <c r="AD254" s="2"/>
      <c r="AE254" s="2"/>
      <c r="AF254" s="2"/>
      <c r="AG254" s="2"/>
    </row>
    <row r="255" ht="13.5" customHeight="1" spans="1:33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2"/>
      <c r="AB255" s="2"/>
      <c r="AC255" s="2"/>
      <c r="AD255" s="2"/>
      <c r="AE255" s="2"/>
      <c r="AF255" s="2"/>
      <c r="AG255" s="2"/>
    </row>
    <row r="256" ht="13.5" customHeight="1" spans="1:33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2"/>
      <c r="AB256" s="2"/>
      <c r="AC256" s="2"/>
      <c r="AD256" s="2"/>
      <c r="AE256" s="2"/>
      <c r="AF256" s="2"/>
      <c r="AG256" s="2"/>
    </row>
    <row r="257" ht="13.5" customHeight="1" spans="1:33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  <c r="AA257" s="2"/>
      <c r="AB257" s="2"/>
      <c r="AC257" s="2"/>
      <c r="AD257" s="2"/>
      <c r="AE257" s="2"/>
      <c r="AF257" s="2"/>
      <c r="AG257" s="2"/>
    </row>
    <row r="258" ht="13.5" customHeight="1" spans="1:33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2"/>
      <c r="AB258" s="2"/>
      <c r="AC258" s="2"/>
      <c r="AD258" s="2"/>
      <c r="AE258" s="2"/>
      <c r="AF258" s="2"/>
      <c r="AG258" s="2"/>
    </row>
    <row r="259" ht="13.5" customHeight="1" spans="1:33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2"/>
      <c r="AB259" s="2"/>
      <c r="AC259" s="2"/>
      <c r="AD259" s="2"/>
      <c r="AE259" s="2"/>
      <c r="AF259" s="2"/>
      <c r="AG259" s="2"/>
    </row>
    <row r="260" ht="13.5" customHeight="1" spans="1:33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2"/>
      <c r="AB260" s="2"/>
      <c r="AC260" s="2"/>
      <c r="AD260" s="2"/>
      <c r="AE260" s="2"/>
      <c r="AF260" s="2"/>
      <c r="AG260" s="2"/>
    </row>
    <row r="261" ht="13.5" customHeight="1" spans="1:33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  <c r="AA261" s="2"/>
      <c r="AB261" s="2"/>
      <c r="AC261" s="2"/>
      <c r="AD261" s="2"/>
      <c r="AE261" s="2"/>
      <c r="AF261" s="2"/>
      <c r="AG261" s="2"/>
    </row>
    <row r="262" ht="13.5" customHeight="1" spans="1:33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2"/>
      <c r="AB262" s="2"/>
      <c r="AC262" s="2"/>
      <c r="AD262" s="2"/>
      <c r="AE262" s="2"/>
      <c r="AF262" s="2"/>
      <c r="AG262" s="2"/>
    </row>
    <row r="263" ht="13.5" customHeight="1" spans="1:33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2"/>
      <c r="AB263" s="2"/>
      <c r="AC263" s="2"/>
      <c r="AD263" s="2"/>
      <c r="AE263" s="2"/>
      <c r="AF263" s="2"/>
      <c r="AG263" s="2"/>
    </row>
    <row r="264" ht="13.5" customHeight="1" spans="1:33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2"/>
      <c r="AB264" s="2"/>
      <c r="AC264" s="2"/>
      <c r="AD264" s="2"/>
      <c r="AE264" s="2"/>
      <c r="AF264" s="2"/>
      <c r="AG264" s="2"/>
    </row>
    <row r="265" ht="13.5" customHeight="1" spans="1:33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  <c r="AA265" s="2"/>
      <c r="AB265" s="2"/>
      <c r="AC265" s="2"/>
      <c r="AD265" s="2"/>
      <c r="AE265" s="2"/>
      <c r="AF265" s="2"/>
      <c r="AG265" s="2"/>
    </row>
    <row r="266" ht="13.5" customHeight="1" spans="1:33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2"/>
      <c r="AB266" s="2"/>
      <c r="AC266" s="2"/>
      <c r="AD266" s="2"/>
      <c r="AE266" s="2"/>
      <c r="AF266" s="2"/>
      <c r="AG266" s="2"/>
    </row>
    <row r="267" ht="13.5" customHeight="1" spans="1:33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2"/>
      <c r="AB267" s="2"/>
      <c r="AC267" s="2"/>
      <c r="AD267" s="2"/>
      <c r="AE267" s="2"/>
      <c r="AF267" s="2"/>
      <c r="AG267" s="2"/>
    </row>
    <row r="268" ht="13.5" customHeight="1" spans="1:33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2"/>
      <c r="AB268" s="2"/>
      <c r="AC268" s="2"/>
      <c r="AD268" s="2"/>
      <c r="AE268" s="2"/>
      <c r="AF268" s="2"/>
      <c r="AG268" s="2"/>
    </row>
    <row r="269" ht="13.5" customHeight="1" spans="1:33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2"/>
      <c r="AB269" s="2"/>
      <c r="AC269" s="2"/>
      <c r="AD269" s="2"/>
      <c r="AE269" s="2"/>
      <c r="AF269" s="2"/>
      <c r="AG269" s="2"/>
    </row>
    <row r="270" ht="13.5" customHeight="1" spans="1:33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2"/>
      <c r="AB270" s="2"/>
      <c r="AC270" s="2"/>
      <c r="AD270" s="2"/>
      <c r="AE270" s="2"/>
      <c r="AF270" s="2"/>
      <c r="AG270" s="2"/>
    </row>
    <row r="271" ht="13.5" customHeight="1" spans="1:33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  <c r="AA271" s="2"/>
      <c r="AB271" s="2"/>
      <c r="AC271" s="2"/>
      <c r="AD271" s="2"/>
      <c r="AE271" s="2"/>
      <c r="AF271" s="2"/>
      <c r="AG271" s="2"/>
    </row>
    <row r="272" ht="13.5" customHeight="1" spans="1:33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2"/>
      <c r="AB272" s="2"/>
      <c r="AC272" s="2"/>
      <c r="AD272" s="2"/>
      <c r="AE272" s="2"/>
      <c r="AF272" s="2"/>
      <c r="AG272" s="2"/>
    </row>
    <row r="273" ht="13.5" customHeight="1" spans="1:33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2"/>
      <c r="AB273" s="2"/>
      <c r="AC273" s="2"/>
      <c r="AD273" s="2"/>
      <c r="AE273" s="2"/>
      <c r="AF273" s="2"/>
      <c r="AG273" s="2"/>
    </row>
    <row r="274" ht="13.5" customHeight="1" spans="1:33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2"/>
      <c r="AB274" s="2"/>
      <c r="AC274" s="2"/>
      <c r="AD274" s="2"/>
      <c r="AE274" s="2"/>
      <c r="AF274" s="2"/>
      <c r="AG274" s="2"/>
    </row>
    <row r="275" ht="13.5" customHeight="1" spans="1:33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2"/>
      <c r="AB275" s="2"/>
      <c r="AC275" s="2"/>
      <c r="AD275" s="2"/>
      <c r="AE275" s="2"/>
      <c r="AF275" s="2"/>
      <c r="AG275" s="2"/>
    </row>
    <row r="276" ht="13.5" customHeight="1" spans="1:33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2"/>
      <c r="AB276" s="2"/>
      <c r="AC276" s="2"/>
      <c r="AD276" s="2"/>
      <c r="AE276" s="2"/>
      <c r="AF276" s="2"/>
      <c r="AG276" s="2"/>
    </row>
    <row r="277" ht="13.5" customHeight="1" spans="1:33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  <c r="AA277" s="2"/>
      <c r="AB277" s="2"/>
      <c r="AC277" s="2"/>
      <c r="AD277" s="2"/>
      <c r="AE277" s="2"/>
      <c r="AF277" s="2"/>
      <c r="AG277" s="2"/>
    </row>
    <row r="278" ht="13.5" customHeight="1" spans="1:33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2"/>
      <c r="AB278" s="2"/>
      <c r="AC278" s="2"/>
      <c r="AD278" s="2"/>
      <c r="AE278" s="2"/>
      <c r="AF278" s="2"/>
      <c r="AG278" s="2"/>
    </row>
    <row r="279" ht="13.5" customHeight="1" spans="1:33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  <c r="AA279" s="2"/>
      <c r="AB279" s="2"/>
      <c r="AC279" s="2"/>
      <c r="AD279" s="2"/>
      <c r="AE279" s="2"/>
      <c r="AF279" s="2"/>
      <c r="AG279" s="2"/>
    </row>
    <row r="280" ht="13.5" customHeight="1" spans="1:33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2"/>
      <c r="AB280" s="2"/>
      <c r="AC280" s="2"/>
      <c r="AD280" s="2"/>
      <c r="AE280" s="2"/>
      <c r="AF280" s="2"/>
      <c r="AG280" s="2"/>
    </row>
    <row r="281" ht="13.5" customHeight="1" spans="1:33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2"/>
      <c r="AB281" s="2"/>
      <c r="AC281" s="2"/>
      <c r="AD281" s="2"/>
      <c r="AE281" s="2"/>
      <c r="AF281" s="2"/>
      <c r="AG281" s="2"/>
    </row>
    <row r="282" ht="13.5" customHeight="1" spans="1:33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2"/>
      <c r="AB282" s="2"/>
      <c r="AC282" s="2"/>
      <c r="AD282" s="2"/>
      <c r="AE282" s="2"/>
      <c r="AF282" s="2"/>
      <c r="AG282" s="2"/>
    </row>
    <row r="283" ht="13.5" customHeight="1" spans="1:33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2"/>
      <c r="AB283" s="2"/>
      <c r="AC283" s="2"/>
      <c r="AD283" s="2"/>
      <c r="AE283" s="2"/>
      <c r="AF283" s="2"/>
      <c r="AG283" s="2"/>
    </row>
    <row r="284" ht="13.5" customHeight="1" spans="1:33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2"/>
      <c r="AB284" s="2"/>
      <c r="AC284" s="2"/>
      <c r="AD284" s="2"/>
      <c r="AE284" s="2"/>
      <c r="AF284" s="2"/>
      <c r="AG284" s="2"/>
    </row>
    <row r="285" ht="13.5" customHeight="1" spans="1:33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2"/>
      <c r="AB285" s="2"/>
      <c r="AC285" s="2"/>
      <c r="AD285" s="2"/>
      <c r="AE285" s="2"/>
      <c r="AF285" s="2"/>
      <c r="AG285" s="2"/>
    </row>
    <row r="286" ht="13.5" customHeight="1" spans="1:33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2"/>
      <c r="AB286" s="2"/>
      <c r="AC286" s="2"/>
      <c r="AD286" s="2"/>
      <c r="AE286" s="2"/>
      <c r="AF286" s="2"/>
      <c r="AG286" s="2"/>
    </row>
    <row r="287" ht="13.5" customHeight="1" spans="1:33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2"/>
      <c r="AB287" s="2"/>
      <c r="AC287" s="2"/>
      <c r="AD287" s="2"/>
      <c r="AE287" s="2"/>
      <c r="AF287" s="2"/>
      <c r="AG287" s="2"/>
    </row>
    <row r="288" ht="13.5" customHeight="1" spans="1:33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2"/>
      <c r="AB288" s="2"/>
      <c r="AC288" s="2"/>
      <c r="AD288" s="2"/>
      <c r="AE288" s="2"/>
      <c r="AF288" s="2"/>
      <c r="AG288" s="2"/>
    </row>
    <row r="289" ht="13.5" customHeight="1" spans="1:33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2"/>
      <c r="AB289" s="2"/>
      <c r="AC289" s="2"/>
      <c r="AD289" s="2"/>
      <c r="AE289" s="2"/>
      <c r="AF289" s="2"/>
      <c r="AG289" s="2"/>
    </row>
    <row r="290" ht="13.5" customHeight="1" spans="1:33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2"/>
      <c r="AB290" s="2"/>
      <c r="AC290" s="2"/>
      <c r="AD290" s="2"/>
      <c r="AE290" s="2"/>
      <c r="AF290" s="2"/>
      <c r="AG290" s="2"/>
    </row>
    <row r="291" ht="13.5" customHeight="1" spans="1:33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2"/>
      <c r="AB291" s="2"/>
      <c r="AC291" s="2"/>
      <c r="AD291" s="2"/>
      <c r="AE291" s="2"/>
      <c r="AF291" s="2"/>
      <c r="AG291" s="2"/>
    </row>
    <row r="292" ht="13.5" customHeight="1" spans="1:33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2"/>
      <c r="AB292" s="2"/>
      <c r="AC292" s="2"/>
      <c r="AD292" s="2"/>
      <c r="AE292" s="2"/>
      <c r="AF292" s="2"/>
      <c r="AG292" s="2"/>
    </row>
    <row r="293" ht="13.5" customHeight="1" spans="1:33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2"/>
      <c r="AB293" s="2"/>
      <c r="AC293" s="2"/>
      <c r="AD293" s="2"/>
      <c r="AE293" s="2"/>
      <c r="AF293" s="2"/>
      <c r="AG293" s="2"/>
    </row>
    <row r="294" ht="13.5" customHeight="1" spans="1:33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2"/>
      <c r="AB294" s="2"/>
      <c r="AC294" s="2"/>
      <c r="AD294" s="2"/>
      <c r="AE294" s="2"/>
      <c r="AF294" s="2"/>
      <c r="AG294" s="2"/>
    </row>
    <row r="295" ht="13.5" customHeight="1" spans="1:33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2"/>
      <c r="AB295" s="2"/>
      <c r="AC295" s="2"/>
      <c r="AD295" s="2"/>
      <c r="AE295" s="2"/>
      <c r="AF295" s="2"/>
      <c r="AG295" s="2"/>
    </row>
    <row r="296" ht="13.5" customHeight="1" spans="1:33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2"/>
      <c r="AB296" s="2"/>
      <c r="AC296" s="2"/>
      <c r="AD296" s="2"/>
      <c r="AE296" s="2"/>
      <c r="AF296" s="2"/>
      <c r="AG296" s="2"/>
    </row>
    <row r="297" ht="13.5" customHeight="1" spans="1:33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2"/>
      <c r="AB297" s="2"/>
      <c r="AC297" s="2"/>
      <c r="AD297" s="2"/>
      <c r="AE297" s="2"/>
      <c r="AF297" s="2"/>
      <c r="AG297" s="2"/>
    </row>
    <row r="298" ht="13.5" customHeight="1" spans="1:33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2"/>
      <c r="AB298" s="2"/>
      <c r="AC298" s="2"/>
      <c r="AD298" s="2"/>
      <c r="AE298" s="2"/>
      <c r="AF298" s="2"/>
      <c r="AG298" s="2"/>
    </row>
    <row r="299" ht="13.5" customHeight="1" spans="1:33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2"/>
      <c r="AB299" s="2"/>
      <c r="AC299" s="2"/>
      <c r="AD299" s="2"/>
      <c r="AE299" s="2"/>
      <c r="AF299" s="2"/>
      <c r="AG299" s="2"/>
    </row>
    <row r="300" ht="13.5" customHeight="1" spans="1:33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2"/>
      <c r="AB300" s="2"/>
      <c r="AC300" s="2"/>
      <c r="AD300" s="2"/>
      <c r="AE300" s="2"/>
      <c r="AF300" s="2"/>
      <c r="AG300" s="2"/>
    </row>
    <row r="301" ht="13.5" customHeight="1" spans="1:33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2"/>
      <c r="AB301" s="2"/>
      <c r="AC301" s="2"/>
      <c r="AD301" s="2"/>
      <c r="AE301" s="2"/>
      <c r="AF301" s="2"/>
      <c r="AG301" s="2"/>
    </row>
    <row r="302" ht="13.5" customHeight="1" spans="1:33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2"/>
      <c r="AB302" s="2"/>
      <c r="AC302" s="2"/>
      <c r="AD302" s="2"/>
      <c r="AE302" s="2"/>
      <c r="AF302" s="2"/>
      <c r="AG302" s="2"/>
    </row>
    <row r="303" ht="13.5" customHeight="1" spans="1:33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2"/>
      <c r="AB303" s="2"/>
      <c r="AC303" s="2"/>
      <c r="AD303" s="2"/>
      <c r="AE303" s="2"/>
      <c r="AF303" s="2"/>
      <c r="AG303" s="2"/>
    </row>
    <row r="304" ht="13.5" customHeight="1" spans="1:33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2"/>
      <c r="AB304" s="2"/>
      <c r="AC304" s="2"/>
      <c r="AD304" s="2"/>
      <c r="AE304" s="2"/>
      <c r="AF304" s="2"/>
      <c r="AG304" s="2"/>
    </row>
    <row r="305" ht="13.5" customHeight="1" spans="1:33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2"/>
      <c r="AB305" s="2"/>
      <c r="AC305" s="2"/>
      <c r="AD305" s="2"/>
      <c r="AE305" s="2"/>
      <c r="AF305" s="2"/>
      <c r="AG305" s="2"/>
    </row>
    <row r="306" ht="13.5" customHeight="1" spans="1:33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2"/>
      <c r="AB306" s="2"/>
      <c r="AC306" s="2"/>
      <c r="AD306" s="2"/>
      <c r="AE306" s="2"/>
      <c r="AF306" s="2"/>
      <c r="AG306" s="2"/>
    </row>
    <row r="307" ht="13.5" customHeight="1" spans="1:33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2"/>
      <c r="AB307" s="2"/>
      <c r="AC307" s="2"/>
      <c r="AD307" s="2"/>
      <c r="AE307" s="2"/>
      <c r="AF307" s="2"/>
      <c r="AG307" s="2"/>
    </row>
    <row r="308" ht="13.5" customHeight="1" spans="1:33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2"/>
      <c r="AB308" s="2"/>
      <c r="AC308" s="2"/>
      <c r="AD308" s="2"/>
      <c r="AE308" s="2"/>
      <c r="AF308" s="2"/>
      <c r="AG308" s="2"/>
    </row>
    <row r="309" ht="13.5" customHeight="1" spans="1:33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2"/>
      <c r="AB309" s="2"/>
      <c r="AC309" s="2"/>
      <c r="AD309" s="2"/>
      <c r="AE309" s="2"/>
      <c r="AF309" s="2"/>
      <c r="AG309" s="2"/>
    </row>
    <row r="310" ht="13.5" customHeight="1" spans="1:33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2"/>
      <c r="AB310" s="2"/>
      <c r="AC310" s="2"/>
      <c r="AD310" s="2"/>
      <c r="AE310" s="2"/>
      <c r="AF310" s="2"/>
      <c r="AG310" s="2"/>
    </row>
    <row r="311" ht="13.5" customHeight="1" spans="1:33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2"/>
      <c r="AB311" s="2"/>
      <c r="AC311" s="2"/>
      <c r="AD311" s="2"/>
      <c r="AE311" s="2"/>
      <c r="AF311" s="2"/>
      <c r="AG311" s="2"/>
    </row>
    <row r="312" ht="13.5" customHeight="1" spans="1:33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2"/>
      <c r="AB312" s="2"/>
      <c r="AC312" s="2"/>
      <c r="AD312" s="2"/>
      <c r="AE312" s="2"/>
      <c r="AF312" s="2"/>
      <c r="AG312" s="2"/>
    </row>
    <row r="313" ht="13.5" customHeight="1" spans="1:33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2"/>
      <c r="AB313" s="2"/>
      <c r="AC313" s="2"/>
      <c r="AD313" s="2"/>
      <c r="AE313" s="2"/>
      <c r="AF313" s="2"/>
      <c r="AG313" s="2"/>
    </row>
    <row r="314" ht="13.5" customHeight="1" spans="1:33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2"/>
      <c r="AB314" s="2"/>
      <c r="AC314" s="2"/>
      <c r="AD314" s="2"/>
      <c r="AE314" s="2"/>
      <c r="AF314" s="2"/>
      <c r="AG314" s="2"/>
    </row>
    <row r="315" ht="13.5" customHeight="1" spans="1:33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2"/>
      <c r="AB315" s="2"/>
      <c r="AC315" s="2"/>
      <c r="AD315" s="2"/>
      <c r="AE315" s="2"/>
      <c r="AF315" s="2"/>
      <c r="AG315" s="2"/>
    </row>
    <row r="316" ht="13.5" customHeight="1" spans="1:33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2"/>
      <c r="AB316" s="2"/>
      <c r="AC316" s="2"/>
      <c r="AD316" s="2"/>
      <c r="AE316" s="2"/>
      <c r="AF316" s="2"/>
      <c r="AG316" s="2"/>
    </row>
    <row r="317" ht="13.5" customHeight="1" spans="1:33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2"/>
      <c r="AB317" s="2"/>
      <c r="AC317" s="2"/>
      <c r="AD317" s="2"/>
      <c r="AE317" s="2"/>
      <c r="AF317" s="2"/>
      <c r="AG317" s="2"/>
    </row>
    <row r="318" ht="13.5" customHeight="1" spans="1:33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2"/>
      <c r="AB318" s="2"/>
      <c r="AC318" s="2"/>
      <c r="AD318" s="2"/>
      <c r="AE318" s="2"/>
      <c r="AF318" s="2"/>
      <c r="AG318" s="2"/>
    </row>
    <row r="319" ht="13.5" customHeight="1" spans="1:33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2"/>
      <c r="AB319" s="2"/>
      <c r="AC319" s="2"/>
      <c r="AD319" s="2"/>
      <c r="AE319" s="2"/>
      <c r="AF319" s="2"/>
      <c r="AG319" s="2"/>
    </row>
    <row r="320" ht="13.5" customHeight="1" spans="1:33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2"/>
      <c r="AB320" s="2"/>
      <c r="AC320" s="2"/>
      <c r="AD320" s="2"/>
      <c r="AE320" s="2"/>
      <c r="AF320" s="2"/>
      <c r="AG320" s="2"/>
    </row>
    <row r="321" ht="13.5" customHeight="1" spans="1:33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2"/>
      <c r="AB321" s="2"/>
      <c r="AC321" s="2"/>
      <c r="AD321" s="2"/>
      <c r="AE321" s="2"/>
      <c r="AF321" s="2"/>
      <c r="AG321" s="2"/>
    </row>
    <row r="322" ht="13.5" customHeight="1" spans="1:33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2"/>
      <c r="AB322" s="2"/>
      <c r="AC322" s="2"/>
      <c r="AD322" s="2"/>
      <c r="AE322" s="2"/>
      <c r="AF322" s="2"/>
      <c r="AG322" s="2"/>
    </row>
    <row r="323" ht="13.5" customHeight="1" spans="1:33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2"/>
      <c r="AB323" s="2"/>
      <c r="AC323" s="2"/>
      <c r="AD323" s="2"/>
      <c r="AE323" s="2"/>
      <c r="AF323" s="2"/>
      <c r="AG323" s="2"/>
    </row>
    <row r="324" ht="13.5" customHeight="1" spans="1:33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2"/>
      <c r="AB324" s="2"/>
      <c r="AC324" s="2"/>
      <c r="AD324" s="2"/>
      <c r="AE324" s="2"/>
      <c r="AF324" s="2"/>
      <c r="AG324" s="2"/>
    </row>
    <row r="325" ht="13.5" customHeight="1" spans="1:33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2"/>
      <c r="AB325" s="2"/>
      <c r="AC325" s="2"/>
      <c r="AD325" s="2"/>
      <c r="AE325" s="2"/>
      <c r="AF325" s="2"/>
      <c r="AG325" s="2"/>
    </row>
    <row r="326" ht="13.5" customHeight="1" spans="1:33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2"/>
      <c r="AB326" s="2"/>
      <c r="AC326" s="2"/>
      <c r="AD326" s="2"/>
      <c r="AE326" s="2"/>
      <c r="AF326" s="2"/>
      <c r="AG326" s="2"/>
    </row>
    <row r="327" ht="13.5" customHeight="1" spans="1:33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2"/>
      <c r="AB327" s="2"/>
      <c r="AC327" s="2"/>
      <c r="AD327" s="2"/>
      <c r="AE327" s="2"/>
      <c r="AF327" s="2"/>
      <c r="AG327" s="2"/>
    </row>
    <row r="328" ht="13.5" customHeight="1" spans="1:33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2"/>
      <c r="AB328" s="2"/>
      <c r="AC328" s="2"/>
      <c r="AD328" s="2"/>
      <c r="AE328" s="2"/>
      <c r="AF328" s="2"/>
      <c r="AG328" s="2"/>
    </row>
    <row r="329" ht="13.5" customHeight="1" spans="1:33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2"/>
      <c r="AB329" s="2"/>
      <c r="AC329" s="2"/>
      <c r="AD329" s="2"/>
      <c r="AE329" s="2"/>
      <c r="AF329" s="2"/>
      <c r="AG329" s="2"/>
    </row>
    <row r="330" ht="13.5" customHeight="1" spans="1:33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2"/>
      <c r="AB330" s="2"/>
      <c r="AC330" s="2"/>
      <c r="AD330" s="2"/>
      <c r="AE330" s="2"/>
      <c r="AF330" s="2"/>
      <c r="AG330" s="2"/>
    </row>
    <row r="331" ht="13.5" customHeight="1" spans="1:33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2"/>
      <c r="AB331" s="2"/>
      <c r="AC331" s="2"/>
      <c r="AD331" s="2"/>
      <c r="AE331" s="2"/>
      <c r="AF331" s="2"/>
      <c r="AG331" s="2"/>
    </row>
    <row r="332" ht="13.5" customHeight="1" spans="1:33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2"/>
      <c r="AB332" s="2"/>
      <c r="AC332" s="2"/>
      <c r="AD332" s="2"/>
      <c r="AE332" s="2"/>
      <c r="AF332" s="2"/>
      <c r="AG332" s="2"/>
    </row>
    <row r="333" ht="13.5" customHeight="1" spans="1:33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2"/>
      <c r="AB333" s="2"/>
      <c r="AC333" s="2"/>
      <c r="AD333" s="2"/>
      <c r="AE333" s="2"/>
      <c r="AF333" s="2"/>
      <c r="AG333" s="2"/>
    </row>
    <row r="334" ht="13.5" customHeight="1" spans="1:33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2"/>
      <c r="AB334" s="2"/>
      <c r="AC334" s="2"/>
      <c r="AD334" s="2"/>
      <c r="AE334" s="2"/>
      <c r="AF334" s="2"/>
      <c r="AG334" s="2"/>
    </row>
    <row r="335" ht="13.5" customHeight="1" spans="1:33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2"/>
      <c r="AB335" s="2"/>
      <c r="AC335" s="2"/>
      <c r="AD335" s="2"/>
      <c r="AE335" s="2"/>
      <c r="AF335" s="2"/>
      <c r="AG335" s="2"/>
    </row>
    <row r="336" ht="13.5" customHeight="1" spans="1:33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2"/>
      <c r="AB336" s="2"/>
      <c r="AC336" s="2"/>
      <c r="AD336" s="2"/>
      <c r="AE336" s="2"/>
      <c r="AF336" s="2"/>
      <c r="AG336" s="2"/>
    </row>
    <row r="337" ht="13.5" customHeight="1" spans="1:33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2"/>
      <c r="AB337" s="2"/>
      <c r="AC337" s="2"/>
      <c r="AD337" s="2"/>
      <c r="AE337" s="2"/>
      <c r="AF337" s="2"/>
      <c r="AG337" s="2"/>
    </row>
    <row r="338" ht="13.5" customHeight="1" spans="1:33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2"/>
      <c r="AB338" s="2"/>
      <c r="AC338" s="2"/>
      <c r="AD338" s="2"/>
      <c r="AE338" s="2"/>
      <c r="AF338" s="2"/>
      <c r="AG338" s="2"/>
    </row>
    <row r="339" ht="13.5" customHeight="1" spans="1:33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2"/>
      <c r="AB339" s="2"/>
      <c r="AC339" s="2"/>
      <c r="AD339" s="2"/>
      <c r="AE339" s="2"/>
      <c r="AF339" s="2"/>
      <c r="AG339" s="2"/>
    </row>
    <row r="340" ht="13.5" customHeight="1" spans="1:33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2"/>
      <c r="AB340" s="2"/>
      <c r="AC340" s="2"/>
      <c r="AD340" s="2"/>
      <c r="AE340" s="2"/>
      <c r="AF340" s="2"/>
      <c r="AG340" s="2"/>
    </row>
    <row r="341" ht="15.75" customHeight="1" spans="1:3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90"/>
      <c r="M341" s="90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ht="15.75" customHeight="1" spans="1:3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90"/>
      <c r="M342" s="90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ht="15.75" customHeight="1" spans="1:3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ht="15.75" customHeight="1" spans="1:3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ht="15.75" customHeight="1" spans="1:3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ht="15.75" customHeight="1" spans="1:3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ht="15.75" customHeight="1" spans="1:3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ht="15.75" customHeight="1" spans="1:3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ht="15.75" customHeight="1" spans="1:3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ht="15.75" customHeight="1" spans="1:3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ht="15.75" customHeight="1" spans="1:3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ht="15.75" customHeight="1" spans="1:3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ht="15.75" customHeight="1" spans="1:3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ht="15.75" customHeight="1" spans="1:3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ht="15.75" customHeight="1" spans="1:3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ht="15.75" customHeight="1" spans="1:3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ht="15.75" customHeight="1" spans="1:3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ht="15.75" customHeight="1" spans="1:3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ht="15.75" customHeight="1" spans="1:3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ht="15.75" customHeight="1" spans="1:3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ht="15.75" customHeight="1" spans="1:3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ht="15.75" customHeight="1" spans="1:3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ht="15.75" customHeight="1" spans="1:3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ht="15.75" customHeight="1" spans="1:3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ht="15.75" customHeight="1" spans="1:3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ht="15.75" customHeight="1" spans="1:3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ht="15.75" customHeight="1" spans="1:3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ht="15.75" customHeight="1" spans="1:3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ht="15.75" customHeight="1" spans="1:3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ht="15.75" customHeight="1" spans="1:3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ht="15.75" customHeight="1" spans="1:3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ht="15.75" customHeight="1" spans="1:3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ht="15.75" customHeight="1" spans="1:3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ht="15.75" customHeight="1" spans="1:3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ht="15.75" customHeight="1" spans="1:3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ht="15.75" customHeight="1" spans="1:3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ht="15.75" customHeight="1" spans="1:3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ht="15.75" customHeight="1" spans="1:3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ht="15.75" customHeight="1" spans="1:3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ht="15.75" customHeight="1" spans="1:3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ht="15.75" customHeight="1" spans="1:3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ht="15.75" customHeight="1" spans="1:3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ht="15.75" customHeight="1" spans="1:3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ht="15.75" customHeight="1" spans="1:3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ht="15.75" customHeight="1" spans="1:3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ht="15.75" customHeight="1" spans="1:3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ht="15.75" customHeight="1" spans="1:3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ht="15.75" customHeight="1" spans="1:3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ht="15.75" customHeight="1" spans="1:3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ht="15.75" customHeight="1" spans="1:3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ht="15.75" customHeight="1" spans="1:3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ht="15.75" customHeight="1" spans="1:3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ht="15.75" customHeight="1" spans="1:3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ht="15.75" customHeight="1" spans="1:3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ht="15.75" customHeight="1" spans="1:3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ht="15.75" customHeight="1" spans="1:3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ht="15.75" customHeight="1" spans="1:3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ht="15.75" customHeight="1" spans="1:3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ht="15.75" customHeight="1" spans="1:3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ht="15.75" customHeight="1" spans="1:3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ht="15.75" customHeight="1" spans="1:3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ht="15.75" customHeight="1" spans="1:3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ht="15.75" customHeight="1" spans="1:3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ht="15.75" customHeight="1" spans="1:3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ht="15.75" customHeight="1" spans="1:3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ht="15.75" customHeight="1" spans="1:3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ht="15.75" customHeight="1" spans="1:3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ht="15.75" customHeight="1" spans="1:3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ht="15.75" customHeight="1" spans="1:3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ht="15.75" customHeight="1" spans="1:3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ht="15.75" customHeight="1" spans="1:3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ht="15.75" customHeight="1" spans="1:3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ht="15.75" customHeight="1" spans="1:3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ht="15.75" customHeight="1" spans="1:3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ht="15.75" customHeight="1" spans="1:3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ht="15.75" customHeight="1" spans="1:3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ht="15.75" customHeight="1" spans="1:3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ht="15.75" customHeight="1" spans="1:3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ht="15.75" customHeight="1" spans="1:3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ht="15.75" customHeight="1" spans="1:3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ht="15.75" customHeight="1" spans="1:3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ht="15.75" customHeight="1" spans="1:3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ht="15.75" customHeight="1" spans="1:3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ht="15.75" customHeight="1" spans="1:3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ht="15.75" customHeight="1" spans="1:3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ht="15.75" customHeight="1" spans="1:3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ht="15.75" customHeight="1" spans="1:3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ht="15.75" customHeight="1" spans="1:3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ht="15.75" customHeight="1" spans="1:3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ht="15.75" customHeight="1" spans="1:3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ht="15.75" customHeight="1" spans="1:3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ht="15.75" customHeight="1" spans="1:3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ht="15.75" customHeight="1" spans="1: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ht="15.75" customHeight="1" spans="1:3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ht="15.75" customHeight="1" spans="1:3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ht="15.75" customHeight="1" spans="1:3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ht="15.75" customHeight="1" spans="1:3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ht="15.75" customHeight="1" spans="1:3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ht="15.75" customHeight="1" spans="1:3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ht="15.75" customHeight="1" spans="1:3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ht="15.75" customHeight="1" spans="1:3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ht="15.75" customHeight="1" spans="1:3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ht="15.75" customHeight="1" spans="1:3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ht="15.75" customHeight="1" spans="1:3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ht="15.75" customHeight="1" spans="1:3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ht="15.75" customHeight="1" spans="1:3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ht="15.75" customHeight="1" spans="1:3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ht="15.75" customHeight="1" spans="1:3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ht="15.75" customHeight="1" spans="1:3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ht="15.75" customHeight="1" spans="1:3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ht="15.75" customHeight="1" spans="1:3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ht="15.75" customHeight="1" spans="1:3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ht="15.75" customHeight="1" spans="1:3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ht="15.75" customHeight="1" spans="1:3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ht="15.75" customHeight="1" spans="1:3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ht="15.75" customHeight="1" spans="1:3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ht="15.75" customHeight="1" spans="1:3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ht="15.75" customHeight="1" spans="1:3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ht="15.75" customHeight="1" spans="1:3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ht="15.75" customHeight="1" spans="1:3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ht="15.75" customHeight="1" spans="1:3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ht="15.75" customHeight="1" spans="1:3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ht="15.75" customHeight="1" spans="1:3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ht="15.75" customHeight="1" spans="1:3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ht="15.75" customHeight="1" spans="1:3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ht="15.75" customHeight="1" spans="1:3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ht="15.75" customHeight="1" spans="1:3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ht="15.75" customHeight="1" spans="1:3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ht="15.75" customHeight="1" spans="1:3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ht="15.75" customHeight="1" spans="1:3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ht="15.75" customHeight="1" spans="1:3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ht="15.75" customHeight="1" spans="1:3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ht="15.75" customHeight="1" spans="1:3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ht="15.75" customHeight="1" spans="1:3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ht="15.75" customHeight="1" spans="1:3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ht="15.75" customHeight="1" spans="1:3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ht="15.75" customHeight="1" spans="1:3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ht="15.75" customHeight="1" spans="1:3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ht="15.75" customHeight="1" spans="1:3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ht="15.75" customHeight="1" spans="1:3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ht="15.75" customHeight="1" spans="1:3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ht="15.75" customHeight="1" spans="1:3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ht="15.75" customHeight="1" spans="1:3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ht="15.75" customHeight="1" spans="1:3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ht="15.75" customHeight="1" spans="1:3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ht="15.75" customHeight="1" spans="1:3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ht="15.75" customHeight="1" spans="1:3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ht="15.75" customHeight="1" spans="1:3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ht="15.75" customHeight="1" spans="1:3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ht="15.75" customHeight="1" spans="1:3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ht="15.75" customHeight="1" spans="1:3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ht="15.75" customHeight="1" spans="1:3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ht="15.75" customHeight="1" spans="1:3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ht="15.75" customHeight="1" spans="1:3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ht="15.75" customHeight="1" spans="1:3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ht="15.75" customHeight="1" spans="1:3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ht="15.75" customHeight="1" spans="1:3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ht="15.75" customHeight="1" spans="1:3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ht="15.75" customHeight="1" spans="1:3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ht="15.75" customHeight="1" spans="1:3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ht="15.75" customHeight="1" spans="1:3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ht="15.75" customHeight="1" spans="1:3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ht="15.75" customHeight="1" spans="1:3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ht="15.75" customHeight="1" spans="1:3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ht="15.75" customHeight="1" spans="1:3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ht="15.75" customHeight="1" spans="1:3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ht="15.75" customHeight="1" spans="1:3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ht="15.75" customHeight="1" spans="1:3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ht="15.75" customHeight="1" spans="1:3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ht="15.75" customHeight="1" spans="1:3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ht="15.75" customHeight="1" spans="1:3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ht="15.75" customHeight="1" spans="1:3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ht="15.75" customHeight="1" spans="1:3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ht="15.75" customHeight="1" spans="1:3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ht="15.75" customHeight="1" spans="1:3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ht="15.75" customHeight="1" spans="1:3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ht="15.75" customHeight="1" spans="1:3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ht="15.75" customHeight="1" spans="1:3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ht="15.75" customHeight="1" spans="1:3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ht="15.75" customHeight="1" spans="1:3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ht="15.75" customHeight="1" spans="1:3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ht="15.75" customHeight="1" spans="1:3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ht="15.75" customHeight="1" spans="1:3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ht="15.75" customHeight="1" spans="1:3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ht="15.75" customHeight="1" spans="1:3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ht="15.75" customHeight="1" spans="1:3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ht="15.75" customHeight="1" spans="1:3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ht="15.75" customHeight="1" spans="1:3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ht="15.75" customHeight="1" spans="1:3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ht="15.75" customHeight="1" spans="1:3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ht="15.75" customHeight="1" spans="1:3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ht="15.75" customHeight="1" spans="1:3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ht="15.75" customHeight="1" spans="1: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ht="15.75" customHeight="1" spans="1:3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ht="15.75" customHeight="1" spans="1:3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ht="15.75" customHeight="1" spans="1:3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ht="15.75" customHeight="1" spans="1:3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ht="15.75" customHeight="1" spans="1:3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ht="15.75" customHeight="1" spans="1:3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ht="15.75" customHeight="1" spans="1:3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ht="15.75" customHeight="1" spans="1:3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ht="15.75" customHeight="1" spans="1:3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ht="15.75" customHeight="1" spans="1:3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ht="15.75" customHeight="1" spans="1:3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ht="15.75" customHeight="1" spans="1:3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ht="15.75" customHeight="1" spans="1:3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ht="15.75" customHeight="1" spans="1:3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ht="15.75" customHeight="1" spans="1:3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ht="15.75" customHeight="1" spans="1:3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ht="15.75" customHeight="1" spans="1:3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ht="15.75" customHeight="1" spans="1:3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ht="15.75" customHeight="1" spans="1:3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ht="15.75" customHeight="1" spans="1:3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ht="15.75" customHeight="1" spans="1:3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ht="15.75" customHeight="1" spans="1:3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ht="15.75" customHeight="1" spans="1:3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ht="15.75" customHeight="1" spans="1:3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ht="15.75" customHeight="1" spans="1:3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ht="15.75" customHeight="1" spans="1:3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ht="15.75" customHeight="1" spans="1:3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ht="15.75" customHeight="1" spans="1:3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ht="15.75" customHeight="1" spans="1:3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ht="15.75" customHeight="1" spans="1:3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ht="15.75" customHeight="1" spans="1:3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ht="15.75" customHeight="1" spans="1:3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ht="15.75" customHeight="1" spans="1:3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ht="15.75" customHeight="1" spans="1:3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ht="15.75" customHeight="1" spans="1:3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ht="15.75" customHeight="1" spans="1:3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ht="15.75" customHeight="1" spans="1:3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ht="15.75" customHeight="1" spans="1:3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ht="15.75" customHeight="1" spans="1:3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ht="15.75" customHeight="1" spans="1:3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ht="15.75" customHeight="1" spans="1:3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ht="15.75" customHeight="1" spans="1:3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ht="15.75" customHeight="1" spans="1:3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ht="15.75" customHeight="1" spans="1:3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ht="15.75" customHeight="1" spans="1:3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ht="15.75" customHeight="1" spans="1:3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ht="15.75" customHeight="1" spans="1:3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ht="15.75" customHeight="1" spans="1:3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ht="15.75" customHeight="1" spans="1:3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ht="15.75" customHeight="1" spans="1:3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ht="15.75" customHeight="1" spans="1:3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ht="15.75" customHeight="1" spans="1:3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ht="15.75" customHeight="1" spans="1:3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ht="15.75" customHeight="1" spans="1:3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ht="15.75" customHeight="1" spans="1:3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ht="15.75" customHeight="1" spans="1:3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ht="15.75" customHeight="1" spans="1:3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ht="15.75" customHeight="1" spans="1:3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ht="15.75" customHeight="1" spans="1:3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ht="15.75" customHeight="1" spans="1:3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ht="15.75" customHeight="1" spans="1:3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ht="15.75" customHeight="1" spans="1:3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ht="15.75" customHeight="1" spans="1:3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ht="15.75" customHeight="1" spans="1:3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ht="15.75" customHeight="1" spans="1:3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ht="15.75" customHeight="1" spans="1:3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ht="15.75" customHeight="1" spans="1:3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ht="15.75" customHeight="1" spans="1:3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ht="15.75" customHeight="1" spans="1:3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ht="15.75" customHeight="1" spans="1:3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ht="15.75" customHeight="1" spans="1:3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ht="15.75" customHeight="1" spans="1:3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ht="15.75" customHeight="1" spans="1:3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ht="15.75" customHeight="1" spans="1:3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ht="15.75" customHeight="1" spans="1:3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ht="15.75" customHeight="1" spans="1:3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ht="15.75" customHeight="1" spans="1:3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ht="15.75" customHeight="1" spans="1:3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ht="15.75" customHeight="1" spans="1:3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ht="15.75" customHeight="1" spans="1:3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ht="15.75" customHeight="1" spans="1:3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ht="15.75" customHeight="1" spans="1:3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ht="15.75" customHeight="1" spans="1:3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ht="15.75" customHeight="1" spans="1:3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ht="15.75" customHeight="1" spans="1:3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ht="15.75" customHeight="1" spans="1:3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ht="15.75" customHeight="1" spans="1:3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ht="15.75" customHeight="1" spans="1:3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ht="15.75" customHeight="1" spans="1:3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ht="15.75" customHeight="1" spans="1:3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ht="15.75" customHeight="1" spans="1:3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ht="15.75" customHeight="1" spans="1:3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ht="15.75" customHeight="1" spans="1:3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ht="15.75" customHeight="1" spans="1:3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ht="15.75" customHeight="1" spans="1:3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ht="15.75" customHeight="1" spans="1:3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ht="15.75" customHeight="1" spans="1:3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ht="15.75" customHeight="1" spans="1:3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ht="15.75" customHeight="1" spans="1:3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ht="15.75" customHeight="1" spans="1: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ht="15.75" customHeight="1" spans="1:3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ht="15.75" customHeight="1" spans="1:3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ht="15.75" customHeight="1" spans="1:3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ht="15.75" customHeight="1" spans="1:3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ht="15.75" customHeight="1" spans="1:3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ht="15.75" customHeight="1" spans="1:3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ht="15.75" customHeight="1" spans="1:3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ht="15.75" customHeight="1" spans="1:3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ht="15.75" customHeight="1" spans="1:3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ht="15.75" customHeight="1" spans="1:3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ht="15.75" customHeight="1" spans="1:3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ht="15.75" customHeight="1" spans="1:3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ht="15.75" customHeight="1" spans="1:3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ht="15.75" customHeight="1" spans="1:3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ht="15.75" customHeight="1" spans="1:3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ht="15.75" customHeight="1" spans="1:3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ht="15.75" customHeight="1" spans="1:3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ht="15.75" customHeight="1" spans="1:3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ht="15.75" customHeight="1" spans="1:3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ht="15.75" customHeight="1" spans="1:3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ht="15.75" customHeight="1" spans="1:3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ht="15.75" customHeight="1" spans="1:3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ht="15.75" customHeight="1" spans="1:3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ht="15.75" customHeight="1" spans="1:3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ht="15.75" customHeight="1" spans="1:3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ht="15.75" customHeight="1" spans="1:3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ht="15.75" customHeight="1" spans="1:3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ht="15.75" customHeight="1" spans="1:3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ht="15.75" customHeight="1" spans="1:3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ht="15.75" customHeight="1" spans="1:3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ht="15.75" customHeight="1" spans="1:3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ht="15.75" customHeight="1" spans="1:3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ht="15.75" customHeight="1" spans="1:3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ht="15.75" customHeight="1" spans="1:3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ht="15.75" customHeight="1" spans="1:3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ht="15.75" customHeight="1" spans="1:3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ht="15.75" customHeight="1" spans="1:3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ht="15.75" customHeight="1" spans="1:3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ht="15.75" customHeight="1" spans="1:3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ht="15.75" customHeight="1" spans="1:3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ht="15.75" customHeight="1" spans="1:3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ht="15.75" customHeight="1" spans="1:3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ht="15.75" customHeight="1" spans="1:3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ht="15.75" customHeight="1" spans="1:3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ht="15.75" customHeight="1" spans="1:3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ht="15.75" customHeight="1" spans="1:3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ht="15.75" customHeight="1" spans="1:3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ht="15.75" customHeight="1" spans="1:3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ht="15.75" customHeight="1" spans="1:3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ht="15.75" customHeight="1" spans="1:3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ht="15.75" customHeight="1" spans="1:3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ht="15.75" customHeight="1" spans="1:3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ht="15.75" customHeight="1" spans="1:3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ht="15.75" customHeight="1" spans="1:3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ht="15.75" customHeight="1" spans="1:3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ht="15.75" customHeight="1" spans="1:3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ht="15.75" customHeight="1" spans="1:3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ht="15.75" customHeight="1" spans="1:3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ht="15.75" customHeight="1" spans="1:3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ht="15.75" customHeight="1" spans="1:3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ht="15.75" customHeight="1" spans="1:3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ht="15.75" customHeight="1" spans="1:3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ht="15.75" customHeight="1" spans="1:3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ht="15.75" customHeight="1" spans="1:3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ht="15.75" customHeight="1" spans="1:3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ht="15.75" customHeight="1" spans="1:3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ht="15.75" customHeight="1" spans="1:3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ht="15.75" customHeight="1" spans="1:3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ht="15.75" customHeight="1" spans="1:3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ht="15.75" customHeight="1" spans="1:3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ht="15.75" customHeight="1" spans="1:3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ht="15.75" customHeight="1" spans="1:3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ht="15.75" customHeight="1" spans="1:3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ht="15.75" customHeight="1" spans="1:3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ht="15.75" customHeight="1" spans="1:3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ht="15.75" customHeight="1" spans="1:3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ht="15.75" customHeight="1" spans="1:3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ht="15.75" customHeight="1" spans="1:3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ht="15.75" customHeight="1" spans="1:3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ht="15.75" customHeight="1" spans="1:3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ht="15.75" customHeight="1" spans="1:3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ht="15.75" customHeight="1" spans="1:3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ht="15.75" customHeight="1" spans="1:3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ht="15.75" customHeight="1" spans="1:3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ht="15.75" customHeight="1" spans="1:3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ht="15.75" customHeight="1" spans="1:3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ht="15.75" customHeight="1" spans="1:3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ht="15.75" customHeight="1" spans="1:3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ht="15.75" customHeight="1" spans="1:3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ht="15.75" customHeight="1" spans="1:3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ht="15.75" customHeight="1" spans="1:3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ht="15.75" customHeight="1" spans="1:3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ht="15.75" customHeight="1" spans="1:3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ht="15.75" customHeight="1" spans="1:3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ht="15.75" customHeight="1" spans="1:3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ht="15.75" customHeight="1" spans="1:3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ht="15.75" customHeight="1" spans="1:3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ht="15.75" customHeight="1" spans="1:3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ht="15.75" customHeight="1" spans="1:3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ht="15.75" customHeight="1" spans="1: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ht="15.75" customHeight="1" spans="1:3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ht="15.75" customHeight="1" spans="1:3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ht="15.75" customHeight="1" spans="1:3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ht="15.75" customHeight="1" spans="1:3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ht="15.75" customHeight="1" spans="1:3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ht="15.75" customHeight="1" spans="1:3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ht="15.75" customHeight="1" spans="1:3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ht="15.75" customHeight="1" spans="1:3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ht="15.75" customHeight="1" spans="1:3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ht="15.75" customHeight="1" spans="1:3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ht="15.75" customHeight="1" spans="1:3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ht="15.75" customHeight="1" spans="1:3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ht="15.75" customHeight="1" spans="1:3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ht="15.75" customHeight="1" spans="1:3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ht="15.75" customHeight="1" spans="1:3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ht="15.75" customHeight="1" spans="1:3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ht="15.75" customHeight="1" spans="1:3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ht="15.75" customHeight="1" spans="1:3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ht="15.75" customHeight="1" spans="1:3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ht="15.75" customHeight="1" spans="1:3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ht="15.75" customHeight="1" spans="1:3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ht="15.75" customHeight="1" spans="1:3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ht="15.75" customHeight="1" spans="1:3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ht="15.75" customHeight="1" spans="1:3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ht="15.75" customHeight="1" spans="1:3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ht="15.75" customHeight="1" spans="1:3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ht="15.75" customHeight="1" spans="1:3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ht="15.75" customHeight="1" spans="1:3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ht="15.75" customHeight="1" spans="1:3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ht="15.75" customHeight="1" spans="1:3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ht="15.75" customHeight="1" spans="1:3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ht="15.75" customHeight="1" spans="1:3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ht="15.75" customHeight="1" spans="1:3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ht="15.75" customHeight="1" spans="1:3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ht="15.75" customHeight="1" spans="1:3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ht="15.75" customHeight="1" spans="1:3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ht="15.75" customHeight="1" spans="1:3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ht="15.75" customHeight="1" spans="1:3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ht="15.75" customHeight="1" spans="1:3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ht="15.75" customHeight="1" spans="1:3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ht="15.75" customHeight="1" spans="1:3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ht="15.75" customHeight="1" spans="1:3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ht="15.75" customHeight="1" spans="1:3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ht="15.75" customHeight="1" spans="1:3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ht="15.75" customHeight="1" spans="1:3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ht="15.75" customHeight="1" spans="1:3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ht="15.75" customHeight="1" spans="1:3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ht="15.75" customHeight="1" spans="1:3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ht="15.75" customHeight="1" spans="1:3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ht="15.75" customHeight="1" spans="1:3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ht="15.75" customHeight="1" spans="1:3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ht="15.75" customHeight="1" spans="1:3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ht="15.75" customHeight="1" spans="1:3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ht="15.75" customHeight="1" spans="1:3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ht="15.75" customHeight="1" spans="1:3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ht="15.75" customHeight="1" spans="1:3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ht="15.75" customHeight="1" spans="1:3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ht="15.75" customHeight="1" spans="1:3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ht="15.75" customHeight="1" spans="1:3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ht="15.75" customHeight="1" spans="1:3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ht="15.75" customHeight="1" spans="1:3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ht="15.75" customHeight="1" spans="1:3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ht="15.75" customHeight="1" spans="1:3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ht="15.75" customHeight="1" spans="1:3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ht="15.75" customHeight="1" spans="1:3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ht="15.75" customHeight="1" spans="1:3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ht="15.75" customHeight="1" spans="1:3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ht="15.75" customHeight="1" spans="1:3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ht="15.75" customHeight="1" spans="1:3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ht="15.75" customHeight="1" spans="1:3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ht="15.75" customHeight="1" spans="1:3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ht="15.75" customHeight="1" spans="1:3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ht="15.75" customHeight="1" spans="1:3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ht="15.75" customHeight="1" spans="1:3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ht="15.75" customHeight="1" spans="1:3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ht="15.75" customHeight="1" spans="1:3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ht="15.75" customHeight="1" spans="1:3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ht="15.75" customHeight="1" spans="1:3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ht="15.75" customHeight="1" spans="1:3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ht="15.75" customHeight="1" spans="1:3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ht="15.75" customHeight="1" spans="1:3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ht="15.75" customHeight="1" spans="1:3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ht="15.75" customHeight="1" spans="1:3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ht="15.75" customHeight="1" spans="1:3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ht="15.75" customHeight="1" spans="1:3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ht="15.75" customHeight="1" spans="1:3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ht="15.75" customHeight="1" spans="1:3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ht="15.75" customHeight="1" spans="1:3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ht="15.75" customHeight="1" spans="1:3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ht="15.75" customHeight="1" spans="1:3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ht="15.75" customHeight="1" spans="1:3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ht="15.75" customHeight="1" spans="1:3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ht="15.75" customHeight="1" spans="1:3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ht="15.75" customHeight="1" spans="1:3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ht="15.75" customHeight="1" spans="1:3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ht="15.75" customHeight="1" spans="1:3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ht="15.75" customHeight="1" spans="1:3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ht="15.75" customHeight="1" spans="1:3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ht="15.75" customHeight="1" spans="1:3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ht="15.75" customHeight="1" spans="1: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ht="15.75" customHeight="1" spans="1:3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ht="15.75" customHeight="1" spans="1:3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ht="15.75" customHeight="1" spans="1:3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ht="15.75" customHeight="1" spans="1:3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ht="15.75" customHeight="1" spans="1:3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ht="15.75" customHeight="1" spans="1:3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ht="15.75" customHeight="1" spans="1:3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ht="15.75" customHeight="1" spans="1:3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ht="15.75" customHeight="1" spans="1:3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ht="15.75" customHeight="1" spans="1:3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ht="15.75" customHeight="1" spans="1:3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ht="15.75" customHeight="1" spans="1:3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ht="15.75" customHeight="1" spans="1:3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ht="15.75" customHeight="1" spans="1:3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ht="15.75" customHeight="1" spans="1:3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ht="15.75" customHeight="1" spans="1:3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ht="15.75" customHeight="1" spans="1:3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ht="15.75" customHeight="1" spans="1:3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ht="15.75" customHeight="1" spans="1:3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ht="15.75" customHeight="1" spans="1:3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ht="15.75" customHeight="1" spans="1:3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ht="15.75" customHeight="1" spans="1:3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ht="15.75" customHeight="1" spans="1:3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ht="15.75" customHeight="1" spans="1:3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ht="15.75" customHeight="1" spans="1:3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ht="15.75" customHeight="1" spans="1:3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ht="15.75" customHeight="1" spans="1:3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ht="15.75" customHeight="1" spans="1:3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ht="15.75" customHeight="1" spans="1:3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ht="15.75" customHeight="1" spans="1:3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ht="15.75" customHeight="1" spans="1:3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ht="15.75" customHeight="1" spans="1:3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ht="15.75" customHeight="1" spans="1:3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ht="15.75" customHeight="1" spans="1:3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ht="15.75" customHeight="1" spans="1:3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ht="15.75" customHeight="1" spans="1:3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ht="15.75" customHeight="1" spans="1:3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ht="15.75" customHeight="1" spans="1:3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ht="15.75" customHeight="1" spans="1:3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ht="15.75" customHeight="1" spans="1:3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ht="15.75" customHeight="1" spans="1:3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ht="15.75" customHeight="1" spans="1:3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ht="15.75" customHeight="1" spans="1:3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ht="15.75" customHeight="1" spans="1:3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ht="15.75" customHeight="1" spans="1:3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ht="15.75" customHeight="1" spans="1:3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ht="15.75" customHeight="1" spans="1:3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ht="15.75" customHeight="1" spans="1:3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ht="15.75" customHeight="1" spans="1:3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ht="15.75" customHeight="1" spans="1:3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ht="15.75" customHeight="1" spans="1:3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ht="15.75" customHeight="1" spans="1:3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ht="15.75" customHeight="1" spans="1:3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ht="15.75" customHeight="1" spans="1:3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ht="15.75" customHeight="1" spans="1:3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ht="15.75" customHeight="1" spans="1:3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ht="15.75" customHeight="1" spans="1:3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ht="15.75" customHeight="1" spans="1:3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ht="15.75" customHeight="1" spans="1:3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ht="15.75" customHeight="1" spans="1:3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ht="15.75" customHeight="1" spans="1:3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ht="15.75" customHeight="1" spans="1:3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ht="15.75" customHeight="1" spans="1:3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ht="15.75" customHeight="1" spans="1:3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ht="15.75" customHeight="1" spans="1:3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ht="15.75" customHeight="1" spans="1:3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ht="15.75" customHeight="1" spans="1:3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ht="15.75" customHeight="1" spans="1:3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ht="15.75" customHeight="1" spans="1:3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ht="15.75" customHeight="1" spans="1:3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ht="15.75" customHeight="1" spans="1:3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ht="15.75" customHeight="1" spans="1:3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ht="15.75" customHeight="1" spans="1:3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ht="15.75" customHeight="1" spans="1:3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ht="15.75" customHeight="1" spans="1:3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ht="15.75" customHeight="1" spans="1:3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ht="15.75" customHeight="1" spans="1:3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ht="15.75" customHeight="1" spans="1:3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ht="15.75" customHeight="1" spans="1:3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ht="15.75" customHeight="1" spans="1:3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ht="15.75" customHeight="1" spans="1:3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ht="15.75" customHeight="1" spans="1:3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ht="15.75" customHeight="1" spans="1:3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ht="15.75" customHeight="1" spans="1:3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ht="15.75" customHeight="1" spans="1:3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ht="15.75" customHeight="1" spans="1:3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ht="15.75" customHeight="1" spans="1:3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ht="15.75" customHeight="1" spans="1:3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ht="15.75" customHeight="1" spans="1:3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ht="15.75" customHeight="1" spans="1:3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ht="15.75" customHeight="1" spans="1:3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ht="15.75" customHeight="1" spans="1:3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ht="15.75" customHeight="1" spans="1:3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ht="15.75" customHeight="1" spans="1:3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ht="15.75" customHeight="1" spans="1:3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ht="15.75" customHeight="1" spans="1:3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ht="15.75" customHeight="1" spans="1:3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ht="15.75" customHeight="1" spans="1:3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ht="15.75" customHeight="1" spans="1:3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customHeight="1" spans="1:33">
      <c r="L933" s="2"/>
      <c r="M933" s="2"/>
    </row>
    <row r="934" customHeight="1" spans="1:33">
      <c r="L934" s="2"/>
      <c r="M934" s="2"/>
    </row>
  </sheetData>
  <pageMargins left="0.7" right="0.7" top="0.75" bottom="0.75" header="0" footer="0"/>
  <pageSetup paperSize="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78"/>
  <sheetViews>
    <sheetView topLeftCell="A103" workbookViewId="0">
      <selection activeCell="A110" sqref="$A110:$XFD110"/>
    </sheetView>
  </sheetViews>
  <sheetFormatPr defaultColWidth="14.4336283185841" defaultRowHeight="15" customHeight="1"/>
  <cols>
    <col min="1" max="1" width="42.4336283185841" customWidth="1"/>
  </cols>
  <sheetData>
    <row r="1" customHeight="1" spans="1:26">
      <c r="A1" s="42" t="s">
        <v>214</v>
      </c>
    </row>
    <row r="2" customHeight="1" spans="1:26">
      <c r="A2" s="43" t="s">
        <v>215</v>
      </c>
    </row>
    <row r="3" customHeight="1" spans="1:26">
      <c r="A3" s="43" t="s">
        <v>216</v>
      </c>
    </row>
    <row r="4" customHeight="1" spans="1:26">
      <c r="A4" s="43" t="s">
        <v>217</v>
      </c>
    </row>
    <row r="5" customHeight="1" spans="1:26">
      <c r="A5" s="44" t="s">
        <v>218</v>
      </c>
      <c r="B5" s="45">
        <v>45231</v>
      </c>
      <c r="C5" s="45">
        <v>45261</v>
      </c>
      <c r="D5" s="45">
        <v>45292</v>
      </c>
      <c r="E5" s="45">
        <v>45323</v>
      </c>
      <c r="F5" s="45">
        <v>45352</v>
      </c>
      <c r="G5" s="45">
        <v>45383</v>
      </c>
      <c r="H5" s="46">
        <v>45413</v>
      </c>
      <c r="I5" s="45">
        <v>45444</v>
      </c>
      <c r="J5" s="45">
        <v>45474</v>
      </c>
      <c r="K5" s="45">
        <v>45505</v>
      </c>
      <c r="L5" s="45">
        <v>45536</v>
      </c>
      <c r="M5" s="45">
        <v>45566</v>
      </c>
      <c r="N5" s="45">
        <v>45597</v>
      </c>
      <c r="O5" s="45">
        <v>45627</v>
      </c>
      <c r="P5" s="45">
        <v>45658</v>
      </c>
      <c r="Q5" s="45">
        <v>45689</v>
      </c>
      <c r="R5" s="45">
        <v>45717</v>
      </c>
      <c r="S5" s="45">
        <v>45748</v>
      </c>
      <c r="T5" s="46">
        <v>45778</v>
      </c>
      <c r="U5" s="45">
        <v>45809</v>
      </c>
      <c r="V5" s="45">
        <v>45839</v>
      </c>
      <c r="W5" s="45">
        <v>45870</v>
      </c>
      <c r="X5" s="45">
        <v>45901</v>
      </c>
      <c r="Y5" s="45">
        <v>45931</v>
      </c>
      <c r="Z5" s="47" t="s">
        <v>35</v>
      </c>
    </row>
    <row r="6" customHeight="1" spans="1:26">
      <c r="A6" s="48" t="s">
        <v>219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customHeight="1" spans="1:26">
      <c r="A7" s="50" t="s">
        <v>46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customHeight="1" spans="1:26">
      <c r="A8" s="51" t="s">
        <v>220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customHeight="1" spans="1:26">
      <c r="A9" s="52" t="s">
        <v>49</v>
      </c>
      <c r="B9" s="53">
        <v>537471.3</v>
      </c>
      <c r="C9" s="53">
        <v>-12228.5</v>
      </c>
      <c r="D9" s="53">
        <v>50194.83</v>
      </c>
      <c r="E9" s="53">
        <v>51857.75</v>
      </c>
      <c r="F9" s="53">
        <v>44591</v>
      </c>
      <c r="G9" s="53">
        <v>52882.13</v>
      </c>
      <c r="H9" s="53">
        <v>46652</v>
      </c>
      <c r="I9" s="53">
        <v>40199</v>
      </c>
      <c r="J9" s="53">
        <v>28967.22</v>
      </c>
      <c r="K9" s="53">
        <v>38029.72</v>
      </c>
      <c r="L9" s="53">
        <v>40731.5</v>
      </c>
      <c r="M9" s="53">
        <v>44850.25</v>
      </c>
      <c r="N9" s="53">
        <v>42684.25</v>
      </c>
      <c r="O9" s="53">
        <v>54771.89</v>
      </c>
      <c r="P9" s="53">
        <v>48759.5</v>
      </c>
      <c r="Q9" s="53">
        <v>43993.25</v>
      </c>
      <c r="R9" s="53">
        <v>44925</v>
      </c>
      <c r="S9" s="53">
        <v>48759.25</v>
      </c>
      <c r="T9" s="53">
        <v>42258.39</v>
      </c>
      <c r="U9" s="53">
        <v>44938.5</v>
      </c>
      <c r="V9" s="53">
        <v>51607.03</v>
      </c>
      <c r="W9" s="53">
        <v>26576.94</v>
      </c>
      <c r="X9" s="53">
        <v>41964.04</v>
      </c>
      <c r="Y9" s="53">
        <v>45059.78</v>
      </c>
      <c r="Z9" s="53">
        <v>1500496.02</v>
      </c>
    </row>
    <row r="10" customHeight="1" spans="1:26">
      <c r="A10" s="52" t="s">
        <v>50</v>
      </c>
      <c r="B10" s="49">
        <v>500</v>
      </c>
      <c r="C10" s="53">
        <v>2054.75</v>
      </c>
      <c r="D10" s="49">
        <v>0</v>
      </c>
      <c r="E10" s="49">
        <v>0</v>
      </c>
      <c r="F10" s="49">
        <v>0</v>
      </c>
      <c r="G10" s="49">
        <v>0</v>
      </c>
      <c r="H10" s="49">
        <v>0</v>
      </c>
      <c r="I10" s="49">
        <v>0</v>
      </c>
      <c r="J10" s="49">
        <v>0</v>
      </c>
      <c r="K10" s="49">
        <v>0</v>
      </c>
      <c r="L10" s="49">
        <v>0</v>
      </c>
      <c r="M10" s="49">
        <v>0</v>
      </c>
      <c r="N10" s="49">
        <v>200</v>
      </c>
      <c r="O10" s="49">
        <v>-200</v>
      </c>
      <c r="P10" s="49">
        <v>0</v>
      </c>
      <c r="Q10" s="49">
        <v>0</v>
      </c>
      <c r="R10" s="49">
        <v>0</v>
      </c>
      <c r="S10" s="49">
        <v>0</v>
      </c>
      <c r="T10" s="49">
        <v>0</v>
      </c>
      <c r="U10" s="49">
        <v>0</v>
      </c>
      <c r="V10" s="49">
        <v>0</v>
      </c>
      <c r="W10" s="49">
        <v>0</v>
      </c>
      <c r="X10" s="49">
        <v>0</v>
      </c>
      <c r="Y10" s="49">
        <v>0</v>
      </c>
      <c r="Z10" s="53">
        <v>2554.75</v>
      </c>
    </row>
    <row r="11" customHeight="1" spans="1:26">
      <c r="A11" s="52" t="s">
        <v>51</v>
      </c>
      <c r="B11" s="49">
        <v>0</v>
      </c>
      <c r="C11" s="49">
        <v>0</v>
      </c>
      <c r="D11" s="49">
        <v>70</v>
      </c>
      <c r="E11" s="49">
        <v>385</v>
      </c>
      <c r="F11" s="49">
        <v>175</v>
      </c>
      <c r="G11" s="49">
        <v>140</v>
      </c>
      <c r="H11" s="49">
        <v>0</v>
      </c>
      <c r="I11" s="49">
        <v>140</v>
      </c>
      <c r="J11" s="49">
        <v>105</v>
      </c>
      <c r="K11" s="49">
        <v>0</v>
      </c>
      <c r="L11" s="49">
        <v>0</v>
      </c>
      <c r="M11" s="49">
        <v>0</v>
      </c>
      <c r="N11" s="49">
        <v>35</v>
      </c>
      <c r="O11" s="49">
        <v>35</v>
      </c>
      <c r="P11" s="49">
        <v>0</v>
      </c>
      <c r="Q11" s="49">
        <v>140</v>
      </c>
      <c r="R11" s="49">
        <v>175</v>
      </c>
      <c r="S11" s="49">
        <v>35</v>
      </c>
      <c r="T11" s="49">
        <v>210</v>
      </c>
      <c r="U11" s="49">
        <v>245</v>
      </c>
      <c r="V11" s="49">
        <v>105</v>
      </c>
      <c r="W11" s="49">
        <v>0</v>
      </c>
      <c r="X11" s="49">
        <v>0</v>
      </c>
      <c r="Y11" s="49">
        <v>0</v>
      </c>
      <c r="Z11" s="53">
        <v>1995</v>
      </c>
    </row>
    <row r="12" customHeight="1" spans="1:26">
      <c r="A12" s="52" t="s">
        <v>52</v>
      </c>
      <c r="B12" s="49">
        <v>0</v>
      </c>
      <c r="C12" s="49">
        <v>0</v>
      </c>
      <c r="D12" s="49">
        <v>0</v>
      </c>
      <c r="E12" s="49">
        <v>0</v>
      </c>
      <c r="F12" s="49">
        <v>0</v>
      </c>
      <c r="G12" s="49">
        <v>0</v>
      </c>
      <c r="H12" s="49">
        <v>0</v>
      </c>
      <c r="I12" s="49">
        <v>0</v>
      </c>
      <c r="J12" s="49">
        <v>0</v>
      </c>
      <c r="K12" s="49">
        <v>0</v>
      </c>
      <c r="L12" s="49">
        <v>0</v>
      </c>
      <c r="M12" s="49">
        <v>5</v>
      </c>
      <c r="N12" s="49">
        <v>0</v>
      </c>
      <c r="O12" s="49">
        <v>0</v>
      </c>
      <c r="P12" s="49">
        <v>0</v>
      </c>
      <c r="Q12" s="49">
        <v>-35</v>
      </c>
      <c r="R12" s="49">
        <v>35</v>
      </c>
      <c r="S12" s="49">
        <v>0</v>
      </c>
      <c r="T12" s="49">
        <v>0</v>
      </c>
      <c r="U12" s="49">
        <v>35</v>
      </c>
      <c r="V12" s="49">
        <v>0</v>
      </c>
      <c r="W12" s="49">
        <v>0</v>
      </c>
      <c r="X12" s="49">
        <v>0</v>
      </c>
      <c r="Y12" s="49">
        <v>0</v>
      </c>
      <c r="Z12" s="49">
        <v>40</v>
      </c>
    </row>
    <row r="13" customHeight="1" spans="1:26">
      <c r="A13" s="52" t="s">
        <v>53</v>
      </c>
      <c r="B13" s="49">
        <v>48.02</v>
      </c>
      <c r="C13" s="49">
        <v>-48.02</v>
      </c>
      <c r="D13" s="49">
        <v>245.79</v>
      </c>
      <c r="E13" s="49">
        <v>50</v>
      </c>
      <c r="F13" s="49">
        <v>659.15</v>
      </c>
      <c r="G13" s="49">
        <v>480.25</v>
      </c>
      <c r="H13" s="49">
        <v>448.3</v>
      </c>
      <c r="I13" s="49">
        <v>454</v>
      </c>
      <c r="J13" s="49">
        <v>489.3</v>
      </c>
      <c r="K13" s="49">
        <v>275</v>
      </c>
      <c r="L13" s="49">
        <v>380</v>
      </c>
      <c r="M13" s="49">
        <v>72.5</v>
      </c>
      <c r="N13" s="49">
        <v>190</v>
      </c>
      <c r="O13" s="49">
        <v>242.5</v>
      </c>
      <c r="P13" s="49">
        <v>322.5</v>
      </c>
      <c r="Q13" s="49">
        <v>195</v>
      </c>
      <c r="R13" s="49">
        <v>220</v>
      </c>
      <c r="S13" s="49">
        <v>290</v>
      </c>
      <c r="T13" s="49">
        <v>92.5</v>
      </c>
      <c r="U13" s="49">
        <v>392.5</v>
      </c>
      <c r="V13" s="49">
        <v>152.5</v>
      </c>
      <c r="W13" s="49">
        <v>0</v>
      </c>
      <c r="X13" s="49">
        <v>175.5</v>
      </c>
      <c r="Y13" s="49">
        <v>185</v>
      </c>
      <c r="Z13" s="53">
        <v>6012.29</v>
      </c>
    </row>
    <row r="14" customHeight="1" spans="1:26">
      <c r="A14" s="52" t="s">
        <v>54</v>
      </c>
      <c r="B14" s="49">
        <v>585</v>
      </c>
      <c r="C14" s="49">
        <v>-40</v>
      </c>
      <c r="D14" s="49">
        <v>40</v>
      </c>
      <c r="E14" s="49">
        <v>40</v>
      </c>
      <c r="F14" s="49">
        <v>40</v>
      </c>
      <c r="G14" s="49">
        <v>40</v>
      </c>
      <c r="H14" s="49">
        <v>40</v>
      </c>
      <c r="I14" s="49">
        <v>40</v>
      </c>
      <c r="J14" s="49">
        <v>40</v>
      </c>
      <c r="K14" s="49">
        <v>0</v>
      </c>
      <c r="L14" s="49">
        <v>0</v>
      </c>
      <c r="M14" s="49">
        <v>0</v>
      </c>
      <c r="N14" s="49">
        <v>0</v>
      </c>
      <c r="O14" s="49">
        <v>0</v>
      </c>
      <c r="P14" s="49">
        <v>0</v>
      </c>
      <c r="Q14" s="49">
        <v>0</v>
      </c>
      <c r="R14" s="49">
        <v>0</v>
      </c>
      <c r="S14" s="49">
        <v>0</v>
      </c>
      <c r="T14" s="49">
        <v>0</v>
      </c>
      <c r="U14" s="49">
        <v>0</v>
      </c>
      <c r="V14" s="49">
        <v>0</v>
      </c>
      <c r="W14" s="49">
        <v>0</v>
      </c>
      <c r="X14" s="49">
        <v>0</v>
      </c>
      <c r="Y14" s="49">
        <v>0</v>
      </c>
      <c r="Z14" s="49">
        <v>825</v>
      </c>
    </row>
    <row r="15" customHeight="1" spans="1:26">
      <c r="A15" s="52" t="s">
        <v>55</v>
      </c>
      <c r="B15" s="49">
        <v>0</v>
      </c>
      <c r="C15" s="49">
        <v>0</v>
      </c>
      <c r="D15" s="49">
        <v>0</v>
      </c>
      <c r="E15" s="49">
        <v>0</v>
      </c>
      <c r="F15" s="49">
        <v>0</v>
      </c>
      <c r="G15" s="49">
        <v>0</v>
      </c>
      <c r="H15" s="49">
        <v>0</v>
      </c>
      <c r="I15" s="49">
        <v>0</v>
      </c>
      <c r="J15" s="49">
        <v>100</v>
      </c>
      <c r="K15" s="49">
        <v>100</v>
      </c>
      <c r="L15" s="49">
        <v>100</v>
      </c>
      <c r="M15" s="49">
        <v>100</v>
      </c>
      <c r="N15" s="49">
        <v>100</v>
      </c>
      <c r="O15" s="49">
        <v>100</v>
      </c>
      <c r="P15" s="49">
        <v>100</v>
      </c>
      <c r="Q15" s="49">
        <v>100</v>
      </c>
      <c r="R15" s="49">
        <v>100</v>
      </c>
      <c r="S15" s="49">
        <v>100</v>
      </c>
      <c r="T15" s="49">
        <v>100</v>
      </c>
      <c r="U15" s="49">
        <v>100</v>
      </c>
      <c r="V15" s="49">
        <v>100</v>
      </c>
      <c r="W15" s="49">
        <v>0</v>
      </c>
      <c r="X15" s="49">
        <v>0</v>
      </c>
      <c r="Y15" s="49">
        <v>0</v>
      </c>
      <c r="Z15" s="53">
        <v>1300</v>
      </c>
    </row>
    <row r="16" customHeight="1" spans="1:26">
      <c r="A16" s="52" t="s">
        <v>56</v>
      </c>
      <c r="B16" s="53">
        <v>1147.5</v>
      </c>
      <c r="C16" s="49">
        <v>360.74</v>
      </c>
      <c r="D16" s="49">
        <v>156.96</v>
      </c>
      <c r="E16" s="49">
        <v>46.98</v>
      </c>
      <c r="F16" s="49">
        <v>186.57</v>
      </c>
      <c r="G16" s="49">
        <v>175.15</v>
      </c>
      <c r="H16" s="49">
        <v>217.25</v>
      </c>
      <c r="I16" s="49">
        <v>175.85</v>
      </c>
      <c r="J16" s="49">
        <v>0</v>
      </c>
      <c r="K16" s="49">
        <v>0</v>
      </c>
      <c r="L16" s="49">
        <v>86.45</v>
      </c>
      <c r="M16" s="49">
        <v>192.38</v>
      </c>
      <c r="N16" s="49">
        <v>294.97</v>
      </c>
      <c r="O16" s="49">
        <v>202.85</v>
      </c>
      <c r="P16" s="49">
        <v>0</v>
      </c>
      <c r="Q16" s="49">
        <v>288.46</v>
      </c>
      <c r="R16" s="49">
        <v>127.48</v>
      </c>
      <c r="S16" s="49">
        <v>0</v>
      </c>
      <c r="T16" s="49">
        <v>0</v>
      </c>
      <c r="U16" s="49">
        <v>152.61</v>
      </c>
      <c r="V16" s="49">
        <v>43.74</v>
      </c>
      <c r="W16" s="49">
        <v>0</v>
      </c>
      <c r="X16" s="49">
        <v>107.81</v>
      </c>
      <c r="Y16" s="49">
        <v>236.35</v>
      </c>
      <c r="Z16" s="53">
        <v>4200.1</v>
      </c>
    </row>
    <row r="17" customHeight="1" spans="1:26">
      <c r="A17" s="52" t="s">
        <v>57</v>
      </c>
      <c r="B17" s="49">
        <v>181</v>
      </c>
      <c r="C17" s="49">
        <v>-48</v>
      </c>
      <c r="D17" s="49">
        <v>76</v>
      </c>
      <c r="E17" s="49">
        <v>47.5</v>
      </c>
      <c r="F17" s="49">
        <v>66.5</v>
      </c>
      <c r="G17" s="49">
        <v>66.5</v>
      </c>
      <c r="H17" s="49">
        <v>57</v>
      </c>
      <c r="I17" s="49">
        <v>57</v>
      </c>
      <c r="J17" s="49">
        <v>38</v>
      </c>
      <c r="K17" s="49">
        <v>28.96</v>
      </c>
      <c r="L17" s="49">
        <v>19</v>
      </c>
      <c r="M17" s="49">
        <v>19</v>
      </c>
      <c r="N17" s="49">
        <v>9.5</v>
      </c>
      <c r="O17" s="49">
        <v>9.5</v>
      </c>
      <c r="P17" s="49">
        <v>9.5</v>
      </c>
      <c r="Q17" s="49">
        <v>9.5</v>
      </c>
      <c r="R17" s="49">
        <v>9.5</v>
      </c>
      <c r="S17" s="49">
        <v>9.5</v>
      </c>
      <c r="T17" s="49">
        <v>9.5</v>
      </c>
      <c r="U17" s="49">
        <v>9.5</v>
      </c>
      <c r="V17" s="49">
        <v>9.5</v>
      </c>
      <c r="W17" s="49">
        <v>0</v>
      </c>
      <c r="X17" s="49">
        <v>316.45</v>
      </c>
      <c r="Y17" s="49">
        <v>251.24</v>
      </c>
      <c r="Z17" s="53">
        <v>1261.65</v>
      </c>
    </row>
    <row r="18" customHeight="1" spans="1:26">
      <c r="A18" s="52" t="s">
        <v>58</v>
      </c>
      <c r="B18" s="49">
        <v>352.33</v>
      </c>
      <c r="C18" s="49">
        <v>0</v>
      </c>
      <c r="D18" s="49">
        <v>0</v>
      </c>
      <c r="E18" s="49">
        <v>0</v>
      </c>
      <c r="F18" s="49">
        <v>0</v>
      </c>
      <c r="G18" s="49">
        <v>0</v>
      </c>
      <c r="H18" s="49">
        <v>0</v>
      </c>
      <c r="I18" s="49">
        <v>0</v>
      </c>
      <c r="J18" s="49">
        <v>0</v>
      </c>
      <c r="K18" s="49">
        <v>0</v>
      </c>
      <c r="L18" s="49">
        <v>0</v>
      </c>
      <c r="M18" s="49">
        <v>0</v>
      </c>
      <c r="N18" s="49">
        <v>0</v>
      </c>
      <c r="O18" s="49">
        <v>0</v>
      </c>
      <c r="P18" s="49">
        <v>0</v>
      </c>
      <c r="Q18" s="49">
        <v>0</v>
      </c>
      <c r="R18" s="49">
        <v>0</v>
      </c>
      <c r="S18" s="49">
        <v>0</v>
      </c>
      <c r="T18" s="49">
        <v>0</v>
      </c>
      <c r="U18" s="49">
        <v>0</v>
      </c>
      <c r="V18" s="49">
        <v>0</v>
      </c>
      <c r="W18" s="49">
        <v>0</v>
      </c>
      <c r="X18" s="49">
        <v>0</v>
      </c>
      <c r="Y18" s="49">
        <v>0</v>
      </c>
      <c r="Z18" s="49">
        <v>352.33</v>
      </c>
    </row>
    <row r="19" customHeight="1" spans="1:26">
      <c r="A19" s="52" t="s">
        <v>59</v>
      </c>
      <c r="B19" s="53">
        <v>-7277.11</v>
      </c>
      <c r="C19" s="49">
        <v>0</v>
      </c>
      <c r="D19" s="49">
        <v>0</v>
      </c>
      <c r="E19" s="49">
        <v>0</v>
      </c>
      <c r="F19" s="49">
        <v>0</v>
      </c>
      <c r="G19" s="49">
        <v>0</v>
      </c>
      <c r="H19" s="49">
        <v>0</v>
      </c>
      <c r="I19" s="49">
        <v>0</v>
      </c>
      <c r="J19" s="49">
        <v>0</v>
      </c>
      <c r="K19" s="49">
        <v>0</v>
      </c>
      <c r="L19" s="49">
        <v>0</v>
      </c>
      <c r="M19" s="49">
        <v>0</v>
      </c>
      <c r="N19" s="49">
        <v>0</v>
      </c>
      <c r="O19" s="49">
        <v>0</v>
      </c>
      <c r="P19" s="49">
        <v>0</v>
      </c>
      <c r="Q19" s="49">
        <v>0</v>
      </c>
      <c r="R19" s="49">
        <v>0</v>
      </c>
      <c r="S19" s="49">
        <v>0</v>
      </c>
      <c r="T19" s="49">
        <v>0</v>
      </c>
      <c r="U19" s="49">
        <v>0</v>
      </c>
      <c r="V19" s="49">
        <v>0</v>
      </c>
      <c r="W19" s="49">
        <v>0</v>
      </c>
      <c r="X19" s="49">
        <v>0</v>
      </c>
      <c r="Y19" s="49">
        <v>0</v>
      </c>
      <c r="Z19" s="53">
        <v>-7277.11</v>
      </c>
    </row>
    <row r="20" customHeight="1" spans="1:26">
      <c r="A20" s="51" t="s">
        <v>221</v>
      </c>
      <c r="B20" s="54">
        <v>533008.04</v>
      </c>
      <c r="C20" s="54">
        <v>-9949.03</v>
      </c>
      <c r="D20" s="54">
        <v>50783.58</v>
      </c>
      <c r="E20" s="54">
        <v>52427.23</v>
      </c>
      <c r="F20" s="54">
        <v>45718.22</v>
      </c>
      <c r="G20" s="54">
        <v>53784.03</v>
      </c>
      <c r="H20" s="54">
        <v>47414.55</v>
      </c>
      <c r="I20" s="54">
        <v>41065.85</v>
      </c>
      <c r="J20" s="54">
        <v>29739.52</v>
      </c>
      <c r="K20" s="54">
        <v>38433.68</v>
      </c>
      <c r="L20" s="54">
        <v>41316.95</v>
      </c>
      <c r="M20" s="54">
        <v>45239.13</v>
      </c>
      <c r="N20" s="54">
        <v>43513.72</v>
      </c>
      <c r="O20" s="54">
        <v>55161.74</v>
      </c>
      <c r="P20" s="54">
        <v>49191.5</v>
      </c>
      <c r="Q20" s="54">
        <v>44691.21</v>
      </c>
      <c r="R20" s="54">
        <v>45591.98</v>
      </c>
      <c r="S20" s="54">
        <v>49193.75</v>
      </c>
      <c r="T20" s="54">
        <v>42670.39</v>
      </c>
      <c r="U20" s="54">
        <v>45873.11</v>
      </c>
      <c r="V20" s="54">
        <v>52017.77</v>
      </c>
      <c r="W20" s="54">
        <v>26576.94</v>
      </c>
      <c r="X20" s="54">
        <v>42563.8</v>
      </c>
      <c r="Y20" s="54">
        <v>45732.37</v>
      </c>
      <c r="Z20" s="54">
        <v>1511760.03</v>
      </c>
    </row>
    <row r="21" customHeight="1" spans="1:26">
      <c r="A21" s="55" t="s">
        <v>222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customHeight="1" spans="1:26">
      <c r="A22" s="56" t="s">
        <v>223</v>
      </c>
      <c r="B22" s="49">
        <v>100</v>
      </c>
      <c r="C22" s="49">
        <v>-100</v>
      </c>
      <c r="D22" s="49">
        <v>0</v>
      </c>
      <c r="E22" s="49">
        <v>0</v>
      </c>
      <c r="F22" s="49">
        <v>0</v>
      </c>
      <c r="G22" s="49">
        <v>0</v>
      </c>
      <c r="H22" s="49">
        <v>0</v>
      </c>
      <c r="I22" s="49">
        <v>0</v>
      </c>
      <c r="J22" s="49">
        <v>0</v>
      </c>
      <c r="K22" s="49">
        <v>0</v>
      </c>
      <c r="L22" s="49">
        <v>0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  <c r="W22" s="49">
        <v>0</v>
      </c>
      <c r="X22" s="49">
        <v>0</v>
      </c>
      <c r="Y22" s="49">
        <v>0</v>
      </c>
      <c r="Z22" s="49">
        <v>0</v>
      </c>
    </row>
    <row r="23" customHeight="1" spans="1:26">
      <c r="A23" s="56" t="s">
        <v>224</v>
      </c>
      <c r="B23" s="53">
        <v>14622.75</v>
      </c>
      <c r="C23" s="53">
        <v>-14622.75</v>
      </c>
      <c r="D23" s="53">
        <v>-5912.5</v>
      </c>
      <c r="E23" s="53">
        <v>3363.5</v>
      </c>
      <c r="F23" s="49">
        <v>-657</v>
      </c>
      <c r="G23" s="49">
        <v>-515</v>
      </c>
      <c r="H23" s="49">
        <v>-70</v>
      </c>
      <c r="I23" s="53">
        <v>-3434.5</v>
      </c>
      <c r="J23" s="53">
        <v>-3995</v>
      </c>
      <c r="K23" s="53">
        <v>1630</v>
      </c>
      <c r="L23" s="49">
        <v>875</v>
      </c>
      <c r="M23" s="49">
        <v>450</v>
      </c>
      <c r="N23" s="53">
        <v>-1325</v>
      </c>
      <c r="O23" s="53">
        <v>1905</v>
      </c>
      <c r="P23" s="53">
        <v>-1905</v>
      </c>
      <c r="Q23" s="49">
        <v>-820.25</v>
      </c>
      <c r="R23" s="49">
        <v>929.75</v>
      </c>
      <c r="S23" s="53">
        <v>1029</v>
      </c>
      <c r="T23" s="49">
        <v>50</v>
      </c>
      <c r="U23" s="53">
        <v>-1768.5</v>
      </c>
      <c r="V23" s="53">
        <v>1007.25</v>
      </c>
      <c r="W23" s="49">
        <v>369.75</v>
      </c>
      <c r="X23" s="49">
        <v>392.25</v>
      </c>
      <c r="Y23" s="49">
        <v>0</v>
      </c>
      <c r="Z23" s="53">
        <v>-8401.25</v>
      </c>
    </row>
    <row r="24" customHeight="1" spans="1:26">
      <c r="A24" s="55" t="s">
        <v>225</v>
      </c>
      <c r="B24" s="54">
        <v>14722.75</v>
      </c>
      <c r="C24" s="54">
        <v>-14722.75</v>
      </c>
      <c r="D24" s="54">
        <v>-5912.5</v>
      </c>
      <c r="E24" s="54">
        <v>3363.5</v>
      </c>
      <c r="F24" s="57">
        <v>-657</v>
      </c>
      <c r="G24" s="57">
        <v>-515</v>
      </c>
      <c r="H24" s="57">
        <v>-70</v>
      </c>
      <c r="I24" s="54">
        <v>-3434.5</v>
      </c>
      <c r="J24" s="54">
        <v>-3995</v>
      </c>
      <c r="K24" s="54">
        <v>1630</v>
      </c>
      <c r="L24" s="57">
        <v>875</v>
      </c>
      <c r="M24" s="57">
        <v>450</v>
      </c>
      <c r="N24" s="54">
        <v>-1325</v>
      </c>
      <c r="O24" s="54">
        <v>1905</v>
      </c>
      <c r="P24" s="54">
        <v>-1905</v>
      </c>
      <c r="Q24" s="57">
        <v>-820.25</v>
      </c>
      <c r="R24" s="57">
        <v>929.75</v>
      </c>
      <c r="S24" s="54">
        <v>1029</v>
      </c>
      <c r="T24" s="57">
        <v>50</v>
      </c>
      <c r="U24" s="54">
        <v>-1768.5</v>
      </c>
      <c r="V24" s="54">
        <v>1007.25</v>
      </c>
      <c r="W24" s="57">
        <v>369.75</v>
      </c>
      <c r="X24" s="57">
        <v>392.25</v>
      </c>
      <c r="Y24" s="57">
        <v>0</v>
      </c>
      <c r="Z24" s="54">
        <v>-8401.25</v>
      </c>
    </row>
    <row r="25" customHeight="1" spans="1:26">
      <c r="A25" s="58" t="s">
        <v>226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customHeight="1" spans="1:26">
      <c r="A26" s="59" t="s">
        <v>227</v>
      </c>
      <c r="B26" s="49">
        <v>0.23</v>
      </c>
      <c r="C26" s="53">
        <v>-26468.13</v>
      </c>
      <c r="D26" s="49">
        <v>0</v>
      </c>
      <c r="E26" s="49">
        <v>0</v>
      </c>
      <c r="F26" s="49">
        <v>0</v>
      </c>
      <c r="G26" s="49">
        <v>0</v>
      </c>
      <c r="H26" s="49">
        <v>0</v>
      </c>
      <c r="I26" s="49">
        <v>0</v>
      </c>
      <c r="J26" s="49">
        <v>0</v>
      </c>
      <c r="K26" s="49">
        <v>0</v>
      </c>
      <c r="L26" s="49">
        <v>0</v>
      </c>
      <c r="M26" s="49">
        <v>0</v>
      </c>
      <c r="N26" s="49">
        <v>0</v>
      </c>
      <c r="O26" s="49">
        <v>0</v>
      </c>
      <c r="P26" s="49">
        <v>0</v>
      </c>
      <c r="Q26" s="49">
        <v>0</v>
      </c>
      <c r="R26" s="49">
        <v>0</v>
      </c>
      <c r="S26" s="49">
        <v>0</v>
      </c>
      <c r="T26" s="49">
        <v>0</v>
      </c>
      <c r="U26" s="49">
        <v>0</v>
      </c>
      <c r="V26" s="49">
        <v>0</v>
      </c>
      <c r="W26" s="49">
        <v>0</v>
      </c>
      <c r="X26" s="49">
        <v>0</v>
      </c>
      <c r="Y26" s="49">
        <v>0</v>
      </c>
      <c r="Z26" s="53">
        <v>-26467.9</v>
      </c>
    </row>
    <row r="27" customHeight="1" spans="1:26">
      <c r="A27" s="58" t="s">
        <v>228</v>
      </c>
      <c r="B27" s="57">
        <v>0.23</v>
      </c>
      <c r="C27" s="54">
        <v>-26468.13</v>
      </c>
      <c r="D27" s="57">
        <v>0</v>
      </c>
      <c r="E27" s="57">
        <v>0</v>
      </c>
      <c r="F27" s="57">
        <v>0</v>
      </c>
      <c r="G27" s="57">
        <v>0</v>
      </c>
      <c r="H27" s="57">
        <v>0</v>
      </c>
      <c r="I27" s="57">
        <v>0</v>
      </c>
      <c r="J27" s="57">
        <v>0</v>
      </c>
      <c r="K27" s="57">
        <v>0</v>
      </c>
      <c r="L27" s="57">
        <v>0</v>
      </c>
      <c r="M27" s="57">
        <v>0</v>
      </c>
      <c r="N27" s="57">
        <v>0</v>
      </c>
      <c r="O27" s="57">
        <v>0</v>
      </c>
      <c r="P27" s="57">
        <v>0</v>
      </c>
      <c r="Q27" s="57">
        <v>0</v>
      </c>
      <c r="R27" s="57">
        <v>0</v>
      </c>
      <c r="S27" s="57">
        <v>0</v>
      </c>
      <c r="T27" s="57">
        <v>0</v>
      </c>
      <c r="U27" s="57">
        <v>0</v>
      </c>
      <c r="V27" s="57">
        <v>0</v>
      </c>
      <c r="W27" s="57">
        <v>0</v>
      </c>
      <c r="X27" s="57">
        <v>0</v>
      </c>
      <c r="Y27" s="57">
        <v>0</v>
      </c>
      <c r="Z27" s="54">
        <v>-26467.9</v>
      </c>
    </row>
    <row r="28" customHeight="1" spans="1:26">
      <c r="A28" s="50" t="s">
        <v>229</v>
      </c>
      <c r="B28" s="54">
        <v>547731.02</v>
      </c>
      <c r="C28" s="54">
        <v>-51139.91</v>
      </c>
      <c r="D28" s="54">
        <v>44871.08</v>
      </c>
      <c r="E28" s="54">
        <v>55790.73</v>
      </c>
      <c r="F28" s="54">
        <v>45061.22</v>
      </c>
      <c r="G28" s="54">
        <v>53269.03</v>
      </c>
      <c r="H28" s="54">
        <v>47344.55</v>
      </c>
      <c r="I28" s="54">
        <v>37631.35</v>
      </c>
      <c r="J28" s="54">
        <v>25744.52</v>
      </c>
      <c r="K28" s="54">
        <v>40063.68</v>
      </c>
      <c r="L28" s="54">
        <v>42191.95</v>
      </c>
      <c r="M28" s="54">
        <v>45689.13</v>
      </c>
      <c r="N28" s="54">
        <v>42188.72</v>
      </c>
      <c r="O28" s="54">
        <v>57066.74</v>
      </c>
      <c r="P28" s="54">
        <v>47286.5</v>
      </c>
      <c r="Q28" s="54">
        <v>43870.96</v>
      </c>
      <c r="R28" s="54">
        <v>46521.73</v>
      </c>
      <c r="S28" s="54">
        <v>50222.75</v>
      </c>
      <c r="T28" s="54">
        <v>42720.39</v>
      </c>
      <c r="U28" s="54">
        <v>44104.61</v>
      </c>
      <c r="V28" s="54">
        <v>53025.02</v>
      </c>
      <c r="W28" s="54">
        <v>26946.69</v>
      </c>
      <c r="X28" s="54">
        <v>42956.05</v>
      </c>
      <c r="Y28" s="54">
        <v>45732.37</v>
      </c>
      <c r="Z28" s="54">
        <v>1476890.88</v>
      </c>
    </row>
    <row r="29" customHeight="1" spans="1:26">
      <c r="A29" s="60" t="s">
        <v>61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customHeight="1" spans="1:26">
      <c r="A30" s="61" t="s">
        <v>230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customHeight="1" spans="1:26">
      <c r="A31" s="62" t="s">
        <v>62</v>
      </c>
      <c r="B31" s="53">
        <v>1075</v>
      </c>
      <c r="C31" s="49">
        <v>0</v>
      </c>
      <c r="D31" s="49">
        <v>200</v>
      </c>
      <c r="E31" s="49">
        <v>0</v>
      </c>
      <c r="F31" s="49">
        <v>0</v>
      </c>
      <c r="G31" s="49">
        <v>0</v>
      </c>
      <c r="H31" s="49">
        <v>0</v>
      </c>
      <c r="I31" s="49">
        <v>200</v>
      </c>
      <c r="J31" s="49">
        <v>0</v>
      </c>
      <c r="K31" s="49">
        <v>0</v>
      </c>
      <c r="L31" s="49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  <c r="W31" s="53">
        <v>2862</v>
      </c>
      <c r="X31" s="49">
        <v>0</v>
      </c>
      <c r="Y31" s="49">
        <v>0</v>
      </c>
      <c r="Z31" s="53">
        <v>4337</v>
      </c>
    </row>
    <row r="32" customHeight="1" spans="1:26">
      <c r="A32" s="62" t="s">
        <v>63</v>
      </c>
      <c r="B32" s="49">
        <v>185</v>
      </c>
      <c r="C32" s="49">
        <v>-150</v>
      </c>
      <c r="D32" s="49">
        <v>0</v>
      </c>
      <c r="E32" s="49">
        <v>0</v>
      </c>
      <c r="F32" s="49">
        <v>0</v>
      </c>
      <c r="G32" s="49">
        <v>0</v>
      </c>
      <c r="H32" s="49">
        <v>0</v>
      </c>
      <c r="I32" s="49">
        <v>55</v>
      </c>
      <c r="J32" s="49">
        <v>0</v>
      </c>
      <c r="K32" s="49">
        <v>0</v>
      </c>
      <c r="L32" s="49">
        <v>0</v>
      </c>
      <c r="M32" s="49">
        <v>0</v>
      </c>
      <c r="N32" s="49">
        <v>-55</v>
      </c>
      <c r="O32" s="49">
        <v>0</v>
      </c>
      <c r="P32" s="49">
        <v>55</v>
      </c>
      <c r="Q32" s="49">
        <v>0</v>
      </c>
      <c r="R32" s="49">
        <v>0</v>
      </c>
      <c r="S32" s="49">
        <v>0</v>
      </c>
      <c r="T32" s="49">
        <v>0</v>
      </c>
      <c r="U32" s="49">
        <v>0</v>
      </c>
      <c r="V32" s="49">
        <v>0</v>
      </c>
      <c r="W32" s="49">
        <v>0</v>
      </c>
      <c r="X32" s="49">
        <v>0</v>
      </c>
      <c r="Y32" s="49">
        <v>0</v>
      </c>
      <c r="Z32" s="49">
        <v>90</v>
      </c>
    </row>
    <row r="33" customHeight="1" spans="1:26">
      <c r="A33" s="62" t="s">
        <v>64</v>
      </c>
      <c r="B33" s="53">
        <v>4433.98</v>
      </c>
      <c r="C33" s="49">
        <v>0</v>
      </c>
      <c r="D33" s="49">
        <v>948.65</v>
      </c>
      <c r="E33" s="49">
        <v>0</v>
      </c>
      <c r="F33" s="53">
        <v>-1013.76</v>
      </c>
      <c r="G33" s="49">
        <v>0</v>
      </c>
      <c r="H33" s="53">
        <v>2111.69</v>
      </c>
      <c r="I33" s="53">
        <v>2125.68</v>
      </c>
      <c r="J33" s="49">
        <v>527.94</v>
      </c>
      <c r="K33" s="49">
        <v>489.5</v>
      </c>
      <c r="L33" s="53">
        <v>1753.94</v>
      </c>
      <c r="M33" s="49">
        <v>97.4</v>
      </c>
      <c r="N33" s="49">
        <v>621.66</v>
      </c>
      <c r="O33" s="49">
        <v>0</v>
      </c>
      <c r="P33" s="53">
        <v>1243.32</v>
      </c>
      <c r="Q33" s="49">
        <v>621.66</v>
      </c>
      <c r="R33" s="49">
        <v>621.66</v>
      </c>
      <c r="S33" s="49">
        <v>621.66</v>
      </c>
      <c r="T33" s="49">
        <v>621.66</v>
      </c>
      <c r="U33" s="49">
        <v>621.66</v>
      </c>
      <c r="V33" s="49">
        <v>621.66</v>
      </c>
      <c r="W33" s="49">
        <v>621.66</v>
      </c>
      <c r="X33" s="49">
        <v>621.66</v>
      </c>
      <c r="Y33" s="53">
        <v>1027.08</v>
      </c>
      <c r="Z33" s="53">
        <v>19340.36</v>
      </c>
    </row>
    <row r="34" customHeight="1" spans="1:26">
      <c r="A34" s="62" t="s">
        <v>65</v>
      </c>
      <c r="B34" s="53">
        <v>2359.8</v>
      </c>
      <c r="C34" s="49">
        <v>0</v>
      </c>
      <c r="D34" s="49">
        <v>988.2</v>
      </c>
      <c r="E34" s="49">
        <v>0</v>
      </c>
      <c r="F34" s="49">
        <v>0</v>
      </c>
      <c r="G34" s="49">
        <v>378</v>
      </c>
      <c r="H34" s="49">
        <v>189</v>
      </c>
      <c r="I34" s="49">
        <v>567</v>
      </c>
      <c r="J34" s="49">
        <v>0</v>
      </c>
      <c r="K34" s="49">
        <v>0</v>
      </c>
      <c r="L34" s="49">
        <v>0</v>
      </c>
      <c r="M34" s="49">
        <v>0</v>
      </c>
      <c r="N34" s="49">
        <v>0</v>
      </c>
      <c r="O34" s="49">
        <v>0</v>
      </c>
      <c r="P34" s="49">
        <v>0</v>
      </c>
      <c r="Q34" s="53">
        <v>3213</v>
      </c>
      <c r="R34" s="49">
        <v>0</v>
      </c>
      <c r="S34" s="49">
        <v>0</v>
      </c>
      <c r="T34" s="49">
        <v>0</v>
      </c>
      <c r="U34" s="49">
        <v>0</v>
      </c>
      <c r="V34" s="49">
        <v>0</v>
      </c>
      <c r="W34" s="49">
        <v>0</v>
      </c>
      <c r="X34" s="53">
        <v>1323</v>
      </c>
      <c r="Y34" s="49">
        <v>189</v>
      </c>
      <c r="Z34" s="53">
        <v>9207</v>
      </c>
    </row>
    <row r="35" customHeight="1" spans="1:26">
      <c r="A35" s="63" t="s">
        <v>231</v>
      </c>
      <c r="B35" s="54">
        <v>8053.78</v>
      </c>
      <c r="C35" s="57">
        <v>-150</v>
      </c>
      <c r="D35" s="54">
        <v>2136.85</v>
      </c>
      <c r="E35" s="57">
        <v>0</v>
      </c>
      <c r="F35" s="54">
        <v>-1013.76</v>
      </c>
      <c r="G35" s="57">
        <v>378</v>
      </c>
      <c r="H35" s="54">
        <v>2300.69</v>
      </c>
      <c r="I35" s="54">
        <v>2947.68</v>
      </c>
      <c r="J35" s="57">
        <v>527.94</v>
      </c>
      <c r="K35" s="57">
        <v>489.5</v>
      </c>
      <c r="L35" s="54">
        <v>1753.94</v>
      </c>
      <c r="M35" s="57">
        <v>97.4</v>
      </c>
      <c r="N35" s="57">
        <v>566.66</v>
      </c>
      <c r="O35" s="57">
        <v>0</v>
      </c>
      <c r="P35" s="54">
        <v>1298.32</v>
      </c>
      <c r="Q35" s="54">
        <v>3834.66</v>
      </c>
      <c r="R35" s="57">
        <v>621.66</v>
      </c>
      <c r="S35" s="57">
        <v>621.66</v>
      </c>
      <c r="T35" s="57">
        <v>621.66</v>
      </c>
      <c r="U35" s="57">
        <v>621.66</v>
      </c>
      <c r="V35" s="57">
        <v>621.66</v>
      </c>
      <c r="W35" s="54">
        <v>3483.66</v>
      </c>
      <c r="X35" s="54">
        <v>1944.66</v>
      </c>
      <c r="Y35" s="54">
        <v>1216.08</v>
      </c>
      <c r="Z35" s="54">
        <v>32974.36</v>
      </c>
    </row>
    <row r="36" customHeight="1" spans="1:26">
      <c r="A36" s="64" t="s">
        <v>232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customHeight="1" spans="1:26">
      <c r="A37" s="65" t="s">
        <v>66</v>
      </c>
      <c r="B37" s="53">
        <v>19020</v>
      </c>
      <c r="C37" s="53">
        <v>-1585</v>
      </c>
      <c r="D37" s="49">
        <v>0</v>
      </c>
      <c r="E37" s="49">
        <v>0</v>
      </c>
      <c r="F37" s="49">
        <v>0</v>
      </c>
      <c r="G37" s="49">
        <v>0</v>
      </c>
      <c r="H37" s="53">
        <v>5183.82</v>
      </c>
      <c r="I37" s="53">
        <v>1587</v>
      </c>
      <c r="J37" s="49">
        <v>0</v>
      </c>
      <c r="K37" s="49">
        <v>0</v>
      </c>
      <c r="L37" s="49">
        <v>0</v>
      </c>
      <c r="M37" s="49">
        <v>0</v>
      </c>
      <c r="N37" s="49">
        <v>0</v>
      </c>
      <c r="O37" s="53">
        <v>6911.76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53">
        <v>36362.63</v>
      </c>
      <c r="V37" s="49">
        <v>0</v>
      </c>
      <c r="W37" s="49">
        <v>0</v>
      </c>
      <c r="X37" s="49">
        <v>0</v>
      </c>
      <c r="Y37" s="49">
        <v>0</v>
      </c>
      <c r="Z37" s="53">
        <v>67480.21</v>
      </c>
    </row>
    <row r="38" customHeight="1" spans="1:26">
      <c r="A38" s="65" t="s">
        <v>67</v>
      </c>
      <c r="B38" s="49">
        <v>0</v>
      </c>
      <c r="C38" s="49">
        <v>0</v>
      </c>
      <c r="D38" s="49">
        <v>0</v>
      </c>
      <c r="E38" s="49">
        <v>0</v>
      </c>
      <c r="F38" s="53">
        <v>6911.76</v>
      </c>
      <c r="G38" s="49">
        <v>0</v>
      </c>
      <c r="H38" s="49">
        <v>0</v>
      </c>
      <c r="I38" s="49">
        <v>0</v>
      </c>
      <c r="J38" s="49">
        <v>0</v>
      </c>
      <c r="K38" s="49">
        <v>0</v>
      </c>
      <c r="L38" s="49">
        <v>0</v>
      </c>
      <c r="M38" s="49">
        <v>0</v>
      </c>
      <c r="N38" s="49">
        <v>0</v>
      </c>
      <c r="O38" s="53">
        <v>-6911.76</v>
      </c>
      <c r="P38" s="49">
        <v>0</v>
      </c>
      <c r="Q38" s="49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  <c r="W38" s="49">
        <v>0</v>
      </c>
      <c r="X38" s="49">
        <v>0</v>
      </c>
      <c r="Y38" s="49">
        <v>0</v>
      </c>
      <c r="Z38" s="49">
        <v>0</v>
      </c>
    </row>
    <row r="39" customHeight="1" spans="1:26">
      <c r="A39" s="64" t="s">
        <v>233</v>
      </c>
      <c r="B39" s="54">
        <v>19020</v>
      </c>
      <c r="C39" s="54">
        <v>-1585</v>
      </c>
      <c r="D39" s="57">
        <v>0</v>
      </c>
      <c r="E39" s="57">
        <v>0</v>
      </c>
      <c r="F39" s="54">
        <v>6911.76</v>
      </c>
      <c r="G39" s="57">
        <v>0</v>
      </c>
      <c r="H39" s="54">
        <v>5183.82</v>
      </c>
      <c r="I39" s="54">
        <v>1587</v>
      </c>
      <c r="J39" s="57">
        <v>0</v>
      </c>
      <c r="K39" s="57">
        <v>0</v>
      </c>
      <c r="L39" s="57">
        <v>0</v>
      </c>
      <c r="M39" s="57">
        <v>0</v>
      </c>
      <c r="N39" s="57">
        <v>0</v>
      </c>
      <c r="O39" s="57">
        <v>0</v>
      </c>
      <c r="P39" s="57">
        <v>0</v>
      </c>
      <c r="Q39" s="57">
        <v>0</v>
      </c>
      <c r="R39" s="57">
        <v>0</v>
      </c>
      <c r="S39" s="57">
        <v>0</v>
      </c>
      <c r="T39" s="57">
        <v>0</v>
      </c>
      <c r="U39" s="54">
        <v>36362.63</v>
      </c>
      <c r="V39" s="57">
        <v>0</v>
      </c>
      <c r="W39" s="57">
        <v>0</v>
      </c>
      <c r="X39" s="57">
        <v>0</v>
      </c>
      <c r="Y39" s="57">
        <v>0</v>
      </c>
      <c r="Z39" s="54">
        <v>67480.21</v>
      </c>
    </row>
    <row r="40" customHeight="1" spans="1:26">
      <c r="A40" s="66" t="s">
        <v>234</v>
      </c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customHeight="1" spans="1:26">
      <c r="A41" s="67" t="s">
        <v>68</v>
      </c>
      <c r="B41" s="53">
        <v>1605</v>
      </c>
      <c r="C41" s="49">
        <v>0</v>
      </c>
      <c r="D41" s="53">
        <v>2425.41</v>
      </c>
      <c r="E41" s="49">
        <v>0</v>
      </c>
      <c r="F41" s="49">
        <v>0</v>
      </c>
      <c r="G41" s="49">
        <v>0</v>
      </c>
      <c r="H41" s="49">
        <v>0</v>
      </c>
      <c r="I41" s="49">
        <v>0</v>
      </c>
      <c r="J41" s="49">
        <v>0</v>
      </c>
      <c r="K41" s="49">
        <v>0</v>
      </c>
      <c r="L41" s="49">
        <v>0</v>
      </c>
      <c r="M41" s="49">
        <v>0</v>
      </c>
      <c r="N41" s="53">
        <v>2658</v>
      </c>
      <c r="O41" s="49">
        <v>0</v>
      </c>
      <c r="P41" s="49">
        <v>0</v>
      </c>
      <c r="Q41" s="49">
        <v>0</v>
      </c>
      <c r="R41" s="49">
        <v>0</v>
      </c>
      <c r="S41" s="49">
        <v>0</v>
      </c>
      <c r="T41" s="49">
        <v>0</v>
      </c>
      <c r="U41" s="49">
        <v>0</v>
      </c>
      <c r="V41" s="49">
        <v>0</v>
      </c>
      <c r="W41" s="49">
        <v>0</v>
      </c>
      <c r="X41" s="49">
        <v>471</v>
      </c>
      <c r="Y41" s="49">
        <v>0</v>
      </c>
      <c r="Z41" s="53">
        <v>7159.41</v>
      </c>
    </row>
    <row r="42" customHeight="1" spans="1:26">
      <c r="A42" s="67" t="s">
        <v>235</v>
      </c>
      <c r="B42" s="53">
        <v>1080</v>
      </c>
      <c r="C42" s="49">
        <v>0</v>
      </c>
      <c r="D42" s="49">
        <v>0</v>
      </c>
      <c r="E42" s="49">
        <v>0</v>
      </c>
      <c r="F42" s="49">
        <v>0</v>
      </c>
      <c r="G42" s="49">
        <v>0</v>
      </c>
      <c r="H42" s="49">
        <v>0</v>
      </c>
      <c r="I42" s="49">
        <v>0</v>
      </c>
      <c r="J42" s="49">
        <v>0</v>
      </c>
      <c r="K42" s="49">
        <v>0</v>
      </c>
      <c r="L42" s="49">
        <v>0</v>
      </c>
      <c r="M42" s="49">
        <v>0</v>
      </c>
      <c r="N42" s="49">
        <v>0</v>
      </c>
      <c r="O42" s="49">
        <v>0</v>
      </c>
      <c r="P42" s="49">
        <v>0</v>
      </c>
      <c r="Q42" s="49">
        <v>0</v>
      </c>
      <c r="R42" s="49">
        <v>0</v>
      </c>
      <c r="S42" s="49">
        <v>0</v>
      </c>
      <c r="T42" s="49">
        <v>0</v>
      </c>
      <c r="U42" s="49">
        <v>0</v>
      </c>
      <c r="V42" s="49">
        <v>0</v>
      </c>
      <c r="W42" s="49">
        <v>0</v>
      </c>
      <c r="X42" s="49">
        <v>0</v>
      </c>
      <c r="Y42" s="49">
        <v>0</v>
      </c>
      <c r="Z42" s="53">
        <v>1080</v>
      </c>
    </row>
    <row r="43" customHeight="1" spans="1:26">
      <c r="A43" s="66" t="s">
        <v>236</v>
      </c>
      <c r="B43" s="54">
        <v>2685</v>
      </c>
      <c r="C43" s="57">
        <v>0</v>
      </c>
      <c r="D43" s="54">
        <v>2425.41</v>
      </c>
      <c r="E43" s="57">
        <v>0</v>
      </c>
      <c r="F43" s="57">
        <v>0</v>
      </c>
      <c r="G43" s="57">
        <v>0</v>
      </c>
      <c r="H43" s="57">
        <v>0</v>
      </c>
      <c r="I43" s="57">
        <v>0</v>
      </c>
      <c r="J43" s="57">
        <v>0</v>
      </c>
      <c r="K43" s="57">
        <v>0</v>
      </c>
      <c r="L43" s="57">
        <v>0</v>
      </c>
      <c r="M43" s="57">
        <v>0</v>
      </c>
      <c r="N43" s="54">
        <v>2658</v>
      </c>
      <c r="O43" s="57">
        <v>0</v>
      </c>
      <c r="P43" s="57">
        <v>0</v>
      </c>
      <c r="Q43" s="57">
        <v>0</v>
      </c>
      <c r="R43" s="57">
        <v>0</v>
      </c>
      <c r="S43" s="57">
        <v>0</v>
      </c>
      <c r="T43" s="57">
        <v>0</v>
      </c>
      <c r="U43" s="57">
        <v>0</v>
      </c>
      <c r="V43" s="57">
        <v>0</v>
      </c>
      <c r="W43" s="57">
        <v>0</v>
      </c>
      <c r="X43" s="57">
        <v>471</v>
      </c>
      <c r="Y43" s="57">
        <v>0</v>
      </c>
      <c r="Z43" s="54">
        <v>8239.41</v>
      </c>
    </row>
    <row r="44" customHeight="1" spans="1:26">
      <c r="A44" s="64" t="s">
        <v>237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customHeight="1" spans="1:26">
      <c r="A45" s="65" t="s">
        <v>70</v>
      </c>
      <c r="B45" s="53">
        <v>22157.13</v>
      </c>
      <c r="C45" s="49">
        <v>0</v>
      </c>
      <c r="D45" s="49">
        <v>0</v>
      </c>
      <c r="E45" s="49">
        <v>0</v>
      </c>
      <c r="F45" s="49">
        <v>0</v>
      </c>
      <c r="G45" s="49">
        <v>0</v>
      </c>
      <c r="H45" s="49">
        <v>0</v>
      </c>
      <c r="I45" s="49">
        <v>0</v>
      </c>
      <c r="J45" s="49">
        <v>0</v>
      </c>
      <c r="K45" s="49">
        <v>0</v>
      </c>
      <c r="L45" s="49">
        <v>0</v>
      </c>
      <c r="M45" s="49">
        <v>0</v>
      </c>
      <c r="N45" s="49">
        <v>0</v>
      </c>
      <c r="O45" s="49">
        <v>0</v>
      </c>
      <c r="P45" s="53">
        <v>6698.71</v>
      </c>
      <c r="Q45" s="49">
        <v>0</v>
      </c>
      <c r="R45" s="49">
        <v>0</v>
      </c>
      <c r="S45" s="49">
        <v>0</v>
      </c>
      <c r="T45" s="49">
        <v>0</v>
      </c>
      <c r="U45" s="49">
        <v>0</v>
      </c>
      <c r="V45" s="49">
        <v>0</v>
      </c>
      <c r="W45" s="49">
        <v>0</v>
      </c>
      <c r="X45" s="53">
        <v>1369.1</v>
      </c>
      <c r="Y45" s="49">
        <v>0</v>
      </c>
      <c r="Z45" s="53">
        <v>30224.94</v>
      </c>
    </row>
    <row r="46" customHeight="1" spans="1:26">
      <c r="A46" s="65" t="s">
        <v>71</v>
      </c>
      <c r="B46" s="53">
        <v>1750</v>
      </c>
      <c r="C46" s="49">
        <v>0</v>
      </c>
      <c r="D46" s="49">
        <v>0</v>
      </c>
      <c r="E46" s="49">
        <v>0</v>
      </c>
      <c r="F46" s="49">
        <v>0</v>
      </c>
      <c r="G46" s="49">
        <v>0</v>
      </c>
      <c r="H46" s="49">
        <v>0</v>
      </c>
      <c r="I46" s="49">
        <v>0</v>
      </c>
      <c r="J46" s="49">
        <v>0</v>
      </c>
      <c r="K46" s="49">
        <v>0</v>
      </c>
      <c r="L46" s="49">
        <v>0</v>
      </c>
      <c r="M46" s="49">
        <v>0</v>
      </c>
      <c r="N46" s="49">
        <v>0</v>
      </c>
      <c r="O46" s="49">
        <v>0</v>
      </c>
      <c r="P46" s="49">
        <v>0</v>
      </c>
      <c r="Q46" s="49">
        <v>0</v>
      </c>
      <c r="R46" s="49">
        <v>0</v>
      </c>
      <c r="S46" s="49">
        <v>0</v>
      </c>
      <c r="T46" s="49">
        <v>0</v>
      </c>
      <c r="U46" s="49">
        <v>0</v>
      </c>
      <c r="V46" s="49">
        <v>0</v>
      </c>
      <c r="W46" s="49">
        <v>0</v>
      </c>
      <c r="X46" s="49">
        <v>0</v>
      </c>
      <c r="Y46" s="49">
        <v>0</v>
      </c>
      <c r="Z46" s="53">
        <v>1750</v>
      </c>
    </row>
    <row r="47" customHeight="1" spans="1:26">
      <c r="A47" s="64" t="s">
        <v>238</v>
      </c>
      <c r="B47" s="54">
        <v>23907.13</v>
      </c>
      <c r="C47" s="57">
        <v>0</v>
      </c>
      <c r="D47" s="57">
        <v>0</v>
      </c>
      <c r="E47" s="57">
        <v>0</v>
      </c>
      <c r="F47" s="57">
        <v>0</v>
      </c>
      <c r="G47" s="57">
        <v>0</v>
      </c>
      <c r="H47" s="57">
        <v>0</v>
      </c>
      <c r="I47" s="57">
        <v>0</v>
      </c>
      <c r="J47" s="57">
        <v>0</v>
      </c>
      <c r="K47" s="57">
        <v>0</v>
      </c>
      <c r="L47" s="57">
        <v>0</v>
      </c>
      <c r="M47" s="57">
        <v>0</v>
      </c>
      <c r="N47" s="57">
        <v>0</v>
      </c>
      <c r="O47" s="57">
        <v>0</v>
      </c>
      <c r="P47" s="54">
        <v>6698.71</v>
      </c>
      <c r="Q47" s="57">
        <v>0</v>
      </c>
      <c r="R47" s="57">
        <v>0</v>
      </c>
      <c r="S47" s="57">
        <v>0</v>
      </c>
      <c r="T47" s="57">
        <v>0</v>
      </c>
      <c r="U47" s="57">
        <v>0</v>
      </c>
      <c r="V47" s="57">
        <v>0</v>
      </c>
      <c r="W47" s="57">
        <v>0</v>
      </c>
      <c r="X47" s="54">
        <v>1369.1</v>
      </c>
      <c r="Y47" s="57">
        <v>0</v>
      </c>
      <c r="Z47" s="54">
        <v>31974.94</v>
      </c>
    </row>
    <row r="48" customHeight="1" spans="1:26">
      <c r="A48" s="68" t="s">
        <v>239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customHeight="1" spans="1:26">
      <c r="A49" s="69" t="s">
        <v>240</v>
      </c>
      <c r="B49" s="49">
        <v>0</v>
      </c>
      <c r="C49" s="53">
        <v>132145.09</v>
      </c>
      <c r="D49" s="49">
        <v>0</v>
      </c>
      <c r="E49" s="49">
        <v>0</v>
      </c>
      <c r="F49" s="49">
        <v>0</v>
      </c>
      <c r="G49" s="49">
        <v>0</v>
      </c>
      <c r="H49" s="49">
        <v>0</v>
      </c>
      <c r="I49" s="49">
        <v>0</v>
      </c>
      <c r="J49" s="49">
        <v>0</v>
      </c>
      <c r="K49" s="49">
        <v>0</v>
      </c>
      <c r="L49" s="49">
        <v>0</v>
      </c>
      <c r="M49" s="49">
        <v>0</v>
      </c>
      <c r="N49" s="49">
        <v>0</v>
      </c>
      <c r="O49" s="53">
        <v>129666.79</v>
      </c>
      <c r="P49" s="49">
        <v>0</v>
      </c>
      <c r="Q49" s="53">
        <v>18070.49</v>
      </c>
      <c r="R49" s="53">
        <v>18070.49</v>
      </c>
      <c r="S49" s="53">
        <v>18070.49</v>
      </c>
      <c r="T49" s="53">
        <v>18070.49</v>
      </c>
      <c r="U49" s="53">
        <v>18070.49</v>
      </c>
      <c r="V49" s="53">
        <v>18070.49</v>
      </c>
      <c r="W49" s="53">
        <v>18070.49</v>
      </c>
      <c r="X49" s="53">
        <v>18070.49</v>
      </c>
      <c r="Y49" s="53">
        <v>18070.49</v>
      </c>
      <c r="Z49" s="53">
        <v>424446.29</v>
      </c>
    </row>
    <row r="50" customHeight="1" spans="1:26">
      <c r="A50" s="69" t="s">
        <v>241</v>
      </c>
      <c r="B50" s="49">
        <v>0</v>
      </c>
      <c r="C50" s="49">
        <v>0</v>
      </c>
      <c r="D50" s="49">
        <v>0</v>
      </c>
      <c r="E50" s="49">
        <v>0</v>
      </c>
      <c r="F50" s="49">
        <v>0</v>
      </c>
      <c r="G50" s="53">
        <v>18070.49</v>
      </c>
      <c r="H50" s="53">
        <v>18070.49</v>
      </c>
      <c r="I50" s="53">
        <v>18070.49</v>
      </c>
      <c r="J50" s="49">
        <v>0</v>
      </c>
      <c r="K50" s="49">
        <v>0</v>
      </c>
      <c r="L50" s="49">
        <v>0</v>
      </c>
      <c r="M50" s="49">
        <v>0</v>
      </c>
      <c r="N50" s="49">
        <v>0</v>
      </c>
      <c r="O50" s="53">
        <v>-54211.47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  <c r="W50" s="49">
        <v>0</v>
      </c>
      <c r="X50" s="49">
        <v>0</v>
      </c>
      <c r="Y50" s="49">
        <v>0</v>
      </c>
      <c r="Z50" s="49">
        <v>0</v>
      </c>
    </row>
    <row r="51" customHeight="1" spans="1:26">
      <c r="A51" s="69" t="s">
        <v>242</v>
      </c>
      <c r="B51" s="49">
        <v>0</v>
      </c>
      <c r="C51" s="49">
        <v>0</v>
      </c>
      <c r="D51" s="49">
        <v>0</v>
      </c>
      <c r="E51" s="49">
        <v>0</v>
      </c>
      <c r="F51" s="49">
        <v>0</v>
      </c>
      <c r="G51" s="49">
        <v>0</v>
      </c>
      <c r="H51" s="49">
        <v>0</v>
      </c>
      <c r="I51" s="49">
        <v>0</v>
      </c>
      <c r="J51" s="49">
        <v>0</v>
      </c>
      <c r="K51" s="49">
        <v>0</v>
      </c>
      <c r="L51" s="49">
        <v>0</v>
      </c>
      <c r="M51" s="49">
        <v>0</v>
      </c>
      <c r="N51" s="49">
        <v>0</v>
      </c>
      <c r="O51" s="53">
        <v>107926.89</v>
      </c>
      <c r="P51" s="49">
        <v>0</v>
      </c>
      <c r="Q51" s="49">
        <v>0</v>
      </c>
      <c r="R51" s="49">
        <v>0</v>
      </c>
      <c r="S51" s="49">
        <v>0</v>
      </c>
      <c r="T51" s="49">
        <v>0</v>
      </c>
      <c r="U51" s="49">
        <v>0</v>
      </c>
      <c r="V51" s="49">
        <v>0</v>
      </c>
      <c r="W51" s="49">
        <v>0</v>
      </c>
      <c r="X51" s="49">
        <v>0</v>
      </c>
      <c r="Y51" s="49">
        <v>0</v>
      </c>
      <c r="Z51" s="53">
        <v>107926.89</v>
      </c>
    </row>
    <row r="52" customHeight="1" spans="1:26">
      <c r="A52" s="68" t="s">
        <v>243</v>
      </c>
      <c r="B52" s="57">
        <v>0</v>
      </c>
      <c r="C52" s="54">
        <v>132145.09</v>
      </c>
      <c r="D52" s="57">
        <v>0</v>
      </c>
      <c r="E52" s="57">
        <v>0</v>
      </c>
      <c r="F52" s="57">
        <v>0</v>
      </c>
      <c r="G52" s="54">
        <v>18070.49</v>
      </c>
      <c r="H52" s="54">
        <v>18070.49</v>
      </c>
      <c r="I52" s="54">
        <v>18070.49</v>
      </c>
      <c r="J52" s="57">
        <v>0</v>
      </c>
      <c r="K52" s="57">
        <v>0</v>
      </c>
      <c r="L52" s="57">
        <v>0</v>
      </c>
      <c r="M52" s="57">
        <v>0</v>
      </c>
      <c r="N52" s="57">
        <v>0</v>
      </c>
      <c r="O52" s="54">
        <v>183382.21</v>
      </c>
      <c r="P52" s="57">
        <v>0</v>
      </c>
      <c r="Q52" s="54">
        <v>18070.49</v>
      </c>
      <c r="R52" s="54">
        <v>18070.49</v>
      </c>
      <c r="S52" s="54">
        <v>18070.49</v>
      </c>
      <c r="T52" s="54">
        <v>18070.49</v>
      </c>
      <c r="U52" s="54">
        <v>18070.49</v>
      </c>
      <c r="V52" s="54">
        <v>18070.49</v>
      </c>
      <c r="W52" s="54">
        <v>18070.49</v>
      </c>
      <c r="X52" s="54">
        <v>18070.49</v>
      </c>
      <c r="Y52" s="54">
        <v>18070.49</v>
      </c>
      <c r="Z52" s="54">
        <v>532373.18</v>
      </c>
    </row>
    <row r="53" customHeight="1" spans="1:26">
      <c r="A53" s="60" t="s">
        <v>244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customHeight="1" spans="1:26">
      <c r="A54" s="70" t="s">
        <v>72</v>
      </c>
      <c r="B54" s="49">
        <v>-150</v>
      </c>
      <c r="C54" s="49">
        <v>150</v>
      </c>
      <c r="D54" s="49">
        <v>0</v>
      </c>
      <c r="E54" s="49">
        <v>0</v>
      </c>
      <c r="F54" s="49">
        <v>0</v>
      </c>
      <c r="G54" s="49">
        <v>0</v>
      </c>
      <c r="H54" s="49">
        <v>0</v>
      </c>
      <c r="I54" s="49">
        <v>0</v>
      </c>
      <c r="J54" s="49">
        <v>0</v>
      </c>
      <c r="K54" s="49">
        <v>0</v>
      </c>
      <c r="L54" s="49">
        <v>0</v>
      </c>
      <c r="M54" s="49">
        <v>0</v>
      </c>
      <c r="N54" s="49">
        <v>0</v>
      </c>
      <c r="O54" s="49">
        <v>0</v>
      </c>
      <c r="P54" s="49">
        <v>0</v>
      </c>
      <c r="Q54" s="49">
        <v>0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  <c r="W54" s="49">
        <v>0</v>
      </c>
      <c r="X54" s="49">
        <v>0</v>
      </c>
      <c r="Y54" s="49">
        <v>0</v>
      </c>
      <c r="Z54" s="49">
        <v>0</v>
      </c>
    </row>
    <row r="55" customHeight="1" spans="1:26">
      <c r="A55" s="70" t="s">
        <v>73</v>
      </c>
      <c r="B55" s="49">
        <v>550</v>
      </c>
      <c r="C55" s="49">
        <v>499.59</v>
      </c>
      <c r="D55" s="49">
        <v>0</v>
      </c>
      <c r="E55" s="49">
        <v>0</v>
      </c>
      <c r="F55" s="49">
        <v>0</v>
      </c>
      <c r="G55" s="49">
        <v>500</v>
      </c>
      <c r="H55" s="49">
        <v>0</v>
      </c>
      <c r="I55" s="49">
        <v>0</v>
      </c>
      <c r="J55" s="49">
        <v>0</v>
      </c>
      <c r="K55" s="49">
        <v>0</v>
      </c>
      <c r="L55" s="49">
        <v>0</v>
      </c>
      <c r="M55" s="49">
        <v>260</v>
      </c>
      <c r="N55" s="49">
        <v>0</v>
      </c>
      <c r="O55" s="53">
        <v>3000</v>
      </c>
      <c r="P55" s="49">
        <v>0</v>
      </c>
      <c r="Q55" s="49">
        <v>0</v>
      </c>
      <c r="R55" s="49">
        <v>945</v>
      </c>
      <c r="S55" s="49">
        <v>0</v>
      </c>
      <c r="T55" s="49">
        <v>0</v>
      </c>
      <c r="U55" s="49">
        <v>0</v>
      </c>
      <c r="V55" s="49">
        <v>0</v>
      </c>
      <c r="W55" s="49">
        <v>0</v>
      </c>
      <c r="X55" s="49">
        <v>0</v>
      </c>
      <c r="Y55" s="49">
        <v>0</v>
      </c>
      <c r="Z55" s="53">
        <v>5754.59</v>
      </c>
    </row>
    <row r="56" customHeight="1" spans="1:26">
      <c r="A56" s="70" t="s">
        <v>74</v>
      </c>
      <c r="B56" s="49">
        <v>-670</v>
      </c>
      <c r="C56" s="49">
        <v>670</v>
      </c>
      <c r="D56" s="49">
        <v>0</v>
      </c>
      <c r="E56" s="49">
        <v>0</v>
      </c>
      <c r="F56" s="49">
        <v>0</v>
      </c>
      <c r="G56" s="49">
        <v>0</v>
      </c>
      <c r="H56" s="49">
        <v>0</v>
      </c>
      <c r="I56" s="49">
        <v>0</v>
      </c>
      <c r="J56" s="49">
        <v>0</v>
      </c>
      <c r="K56" s="49">
        <v>0</v>
      </c>
      <c r="L56" s="49">
        <v>0</v>
      </c>
      <c r="M56" s="49">
        <v>0</v>
      </c>
      <c r="N56" s="49">
        <v>0</v>
      </c>
      <c r="O56" s="49">
        <v>0</v>
      </c>
      <c r="P56" s="49">
        <v>0</v>
      </c>
      <c r="Q56" s="49">
        <v>0</v>
      </c>
      <c r="R56" s="49">
        <v>0</v>
      </c>
      <c r="S56" s="49">
        <v>0</v>
      </c>
      <c r="T56" s="49">
        <v>0</v>
      </c>
      <c r="U56" s="49">
        <v>0</v>
      </c>
      <c r="V56" s="49">
        <v>0</v>
      </c>
      <c r="W56" s="49">
        <v>0</v>
      </c>
      <c r="X56" s="49">
        <v>0</v>
      </c>
      <c r="Y56" s="49">
        <v>0</v>
      </c>
      <c r="Z56" s="49">
        <v>0</v>
      </c>
    </row>
    <row r="57" customHeight="1" spans="1:26">
      <c r="A57" s="70" t="s">
        <v>75</v>
      </c>
      <c r="B57" s="53">
        <v>21403.22</v>
      </c>
      <c r="C57" s="53">
        <v>-17317</v>
      </c>
      <c r="D57" s="49">
        <v>0</v>
      </c>
      <c r="E57" s="49">
        <v>575</v>
      </c>
      <c r="F57" s="49">
        <v>0</v>
      </c>
      <c r="G57" s="49">
        <v>0</v>
      </c>
      <c r="H57" s="49">
        <v>0</v>
      </c>
      <c r="I57" s="49">
        <v>764.6</v>
      </c>
      <c r="J57" s="49">
        <v>0</v>
      </c>
      <c r="K57" s="49">
        <v>0</v>
      </c>
      <c r="L57" s="49">
        <v>764.6</v>
      </c>
      <c r="M57" s="49">
        <v>0</v>
      </c>
      <c r="N57" s="53">
        <v>3403.75</v>
      </c>
      <c r="O57" s="49">
        <v>0</v>
      </c>
      <c r="P57" s="49">
        <v>0</v>
      </c>
      <c r="Q57" s="49">
        <v>175</v>
      </c>
      <c r="R57" s="53">
        <v>2775.22</v>
      </c>
      <c r="S57" s="49">
        <v>0</v>
      </c>
      <c r="T57" s="49">
        <v>0</v>
      </c>
      <c r="U57" s="49">
        <v>0</v>
      </c>
      <c r="V57" s="49">
        <v>0</v>
      </c>
      <c r="W57" s="49">
        <v>0</v>
      </c>
      <c r="X57" s="49">
        <v>0</v>
      </c>
      <c r="Y57" s="49">
        <v>0</v>
      </c>
      <c r="Z57" s="53">
        <v>12544.39</v>
      </c>
    </row>
    <row r="58" customHeight="1" spans="1:26">
      <c r="A58" s="70" t="s">
        <v>76</v>
      </c>
      <c r="B58" s="49">
        <v>0</v>
      </c>
      <c r="C58" s="49">
        <v>0</v>
      </c>
      <c r="D58" s="49">
        <v>0</v>
      </c>
      <c r="E58" s="49">
        <v>0</v>
      </c>
      <c r="F58" s="49">
        <v>0</v>
      </c>
      <c r="G58" s="49">
        <v>0</v>
      </c>
      <c r="H58" s="49">
        <v>0</v>
      </c>
      <c r="I58" s="49">
        <v>0</v>
      </c>
      <c r="J58" s="49">
        <v>0</v>
      </c>
      <c r="K58" s="49">
        <v>0</v>
      </c>
      <c r="L58" s="49">
        <v>0</v>
      </c>
      <c r="M58" s="49">
        <v>0</v>
      </c>
      <c r="N58" s="49">
        <v>0</v>
      </c>
      <c r="O58" s="53">
        <v>23900</v>
      </c>
      <c r="P58" s="49">
        <v>0</v>
      </c>
      <c r="Q58" s="53">
        <v>5800</v>
      </c>
      <c r="R58" s="53">
        <v>11600</v>
      </c>
      <c r="S58" s="53">
        <v>5800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53">
        <v>47100</v>
      </c>
    </row>
    <row r="59" customHeight="1" spans="1:26">
      <c r="A59" s="70" t="s">
        <v>77</v>
      </c>
      <c r="B59" s="49">
        <v>-31</v>
      </c>
      <c r="C59" s="49">
        <v>31</v>
      </c>
      <c r="D59" s="49">
        <v>0</v>
      </c>
      <c r="E59" s="49">
        <v>0</v>
      </c>
      <c r="F59" s="49">
        <v>0</v>
      </c>
      <c r="G59" s="49">
        <v>0</v>
      </c>
      <c r="H59" s="49">
        <v>0</v>
      </c>
      <c r="I59" s="49">
        <v>0</v>
      </c>
      <c r="J59" s="49">
        <v>0</v>
      </c>
      <c r="K59" s="49">
        <v>0</v>
      </c>
      <c r="L59" s="49">
        <v>0</v>
      </c>
      <c r="M59" s="49">
        <v>0</v>
      </c>
      <c r="N59" s="49">
        <v>0</v>
      </c>
      <c r="O59" s="49">
        <v>0</v>
      </c>
      <c r="P59" s="49">
        <v>0</v>
      </c>
      <c r="Q59" s="49">
        <v>0</v>
      </c>
      <c r="R59" s="49">
        <v>0</v>
      </c>
      <c r="S59" s="49">
        <v>0</v>
      </c>
      <c r="T59" s="49">
        <v>0</v>
      </c>
      <c r="U59" s="49">
        <v>0</v>
      </c>
      <c r="V59" s="49">
        <v>0</v>
      </c>
      <c r="W59" s="49">
        <v>0</v>
      </c>
      <c r="X59" s="49">
        <v>0</v>
      </c>
      <c r="Y59" s="49">
        <v>0</v>
      </c>
      <c r="Z59" s="49">
        <v>0</v>
      </c>
    </row>
    <row r="60" customHeight="1" spans="1:26">
      <c r="A60" s="70" t="s">
        <v>78</v>
      </c>
      <c r="B60" s="53">
        <v>2851.6</v>
      </c>
      <c r="C60" s="53">
        <v>2425</v>
      </c>
      <c r="D60" s="49">
        <v>386.7</v>
      </c>
      <c r="E60" s="49">
        <v>0</v>
      </c>
      <c r="F60" s="49">
        <v>0</v>
      </c>
      <c r="G60" s="49">
        <v>501.7</v>
      </c>
      <c r="H60" s="49">
        <v>0</v>
      </c>
      <c r="I60" s="53">
        <v>2926.7</v>
      </c>
      <c r="J60" s="49">
        <v>0</v>
      </c>
      <c r="K60" s="49">
        <v>0</v>
      </c>
      <c r="L60" s="53">
        <v>1261.7</v>
      </c>
      <c r="M60" s="49">
        <v>0</v>
      </c>
      <c r="N60" s="49">
        <v>602.7</v>
      </c>
      <c r="O60" s="49">
        <v>290</v>
      </c>
      <c r="P60" s="49">
        <v>0</v>
      </c>
      <c r="Q60" s="49">
        <v>0</v>
      </c>
      <c r="R60" s="49">
        <v>0</v>
      </c>
      <c r="S60" s="49">
        <v>0</v>
      </c>
      <c r="T60" s="49">
        <v>0</v>
      </c>
      <c r="U60" s="49">
        <v>0</v>
      </c>
      <c r="V60" s="49">
        <v>0</v>
      </c>
      <c r="W60" s="49">
        <v>0</v>
      </c>
      <c r="X60" s="49">
        <v>875</v>
      </c>
      <c r="Y60" s="49">
        <v>492.37</v>
      </c>
      <c r="Z60" s="53">
        <v>12613.47</v>
      </c>
    </row>
    <row r="61" customHeight="1" spans="1:26">
      <c r="A61" s="70" t="s">
        <v>245</v>
      </c>
      <c r="B61" s="49">
        <v>0</v>
      </c>
      <c r="C61" s="49">
        <v>0</v>
      </c>
      <c r="D61" s="49">
        <v>0</v>
      </c>
      <c r="E61" s="49">
        <v>0</v>
      </c>
      <c r="F61" s="49">
        <v>0</v>
      </c>
      <c r="G61" s="49">
        <v>0</v>
      </c>
      <c r="H61" s="49">
        <v>0</v>
      </c>
      <c r="I61" s="49">
        <v>0</v>
      </c>
      <c r="J61" s="49">
        <v>0</v>
      </c>
      <c r="K61" s="49">
        <v>0</v>
      </c>
      <c r="L61" s="53">
        <v>1890</v>
      </c>
      <c r="M61" s="53">
        <v>1890</v>
      </c>
      <c r="N61" s="53">
        <v>1890</v>
      </c>
      <c r="O61" s="49">
        <v>0</v>
      </c>
      <c r="P61" s="49">
        <v>0</v>
      </c>
      <c r="Q61" s="49">
        <v>0</v>
      </c>
      <c r="R61" s="49">
        <v>0</v>
      </c>
      <c r="S61" s="49">
        <v>0</v>
      </c>
      <c r="T61" s="49">
        <v>0</v>
      </c>
      <c r="U61" s="53">
        <v>2500</v>
      </c>
      <c r="V61" s="49">
        <v>0</v>
      </c>
      <c r="W61" s="49">
        <v>0</v>
      </c>
      <c r="X61" s="49">
        <v>0</v>
      </c>
      <c r="Y61" s="49">
        <v>0</v>
      </c>
      <c r="Z61" s="53">
        <v>8170</v>
      </c>
    </row>
    <row r="62" customHeight="1" spans="1:26">
      <c r="A62" s="70" t="s">
        <v>80</v>
      </c>
      <c r="B62" s="53">
        <v>7919.57</v>
      </c>
      <c r="C62" s="49">
        <v>0</v>
      </c>
      <c r="D62" s="49">
        <v>956.29</v>
      </c>
      <c r="E62" s="49">
        <v>0</v>
      </c>
      <c r="F62" s="49">
        <v>0</v>
      </c>
      <c r="G62" s="49">
        <v>0</v>
      </c>
      <c r="H62" s="49">
        <v>0</v>
      </c>
      <c r="I62" s="53">
        <v>1912.58</v>
      </c>
      <c r="J62" s="49">
        <v>102.6</v>
      </c>
      <c r="K62" s="49">
        <v>956.29</v>
      </c>
      <c r="L62" s="49">
        <v>956.29</v>
      </c>
      <c r="M62" s="49">
        <v>0</v>
      </c>
      <c r="N62" s="53">
        <v>1032.78</v>
      </c>
      <c r="O62" s="53">
        <v>3383.2</v>
      </c>
      <c r="P62" s="49">
        <v>0</v>
      </c>
      <c r="Q62" s="49">
        <v>386.7</v>
      </c>
      <c r="R62" s="53">
        <v>1032.78</v>
      </c>
      <c r="S62" s="49">
        <v>0</v>
      </c>
      <c r="T62" s="49">
        <v>135</v>
      </c>
      <c r="U62" s="53">
        <v>1419.48</v>
      </c>
      <c r="V62" s="49">
        <v>0</v>
      </c>
      <c r="W62" s="49">
        <v>230</v>
      </c>
      <c r="X62" s="49">
        <v>386.7</v>
      </c>
      <c r="Y62" s="49">
        <v>0</v>
      </c>
      <c r="Z62" s="53">
        <v>20810.26</v>
      </c>
    </row>
    <row r="63" customHeight="1" spans="1:26">
      <c r="A63" s="70" t="s">
        <v>81</v>
      </c>
      <c r="B63" s="49">
        <v>0</v>
      </c>
      <c r="C63" s="49">
        <v>0</v>
      </c>
      <c r="D63" s="49">
        <v>0</v>
      </c>
      <c r="E63" s="49">
        <v>0</v>
      </c>
      <c r="F63" s="49">
        <v>0</v>
      </c>
      <c r="G63" s="49">
        <v>0</v>
      </c>
      <c r="H63" s="49">
        <v>0</v>
      </c>
      <c r="I63" s="49">
        <v>0</v>
      </c>
      <c r="J63" s="49">
        <v>0</v>
      </c>
      <c r="K63" s="49">
        <v>0</v>
      </c>
      <c r="L63" s="49">
        <v>0</v>
      </c>
      <c r="M63" s="49">
        <v>0</v>
      </c>
      <c r="N63" s="49">
        <v>0</v>
      </c>
      <c r="O63" s="49">
        <v>0</v>
      </c>
      <c r="P63" s="49">
        <v>0</v>
      </c>
      <c r="Q63" s="49">
        <v>0</v>
      </c>
      <c r="R63" s="49">
        <v>0</v>
      </c>
      <c r="S63" s="49">
        <v>0</v>
      </c>
      <c r="T63" s="49">
        <v>0</v>
      </c>
      <c r="U63" s="49">
        <v>0</v>
      </c>
      <c r="V63" s="49">
        <v>0</v>
      </c>
      <c r="W63" s="53">
        <v>1032.78</v>
      </c>
      <c r="X63" s="49">
        <v>0</v>
      </c>
      <c r="Y63" s="49">
        <v>0</v>
      </c>
      <c r="Z63" s="53">
        <v>1032.78</v>
      </c>
    </row>
    <row r="64" customHeight="1" spans="1:26">
      <c r="A64" s="70" t="s">
        <v>82</v>
      </c>
      <c r="B64" s="49">
        <v>0</v>
      </c>
      <c r="C64" s="49">
        <v>611.74</v>
      </c>
      <c r="D64" s="49">
        <v>0</v>
      </c>
      <c r="E64" s="49">
        <v>0</v>
      </c>
      <c r="F64" s="49">
        <v>0</v>
      </c>
      <c r="G64" s="49">
        <v>0</v>
      </c>
      <c r="H64" s="49">
        <v>0</v>
      </c>
      <c r="I64" s="49">
        <v>0</v>
      </c>
      <c r="J64" s="49">
        <v>0</v>
      </c>
      <c r="K64" s="49">
        <v>0</v>
      </c>
      <c r="L64" s="49">
        <v>0</v>
      </c>
      <c r="M64" s="49">
        <v>0</v>
      </c>
      <c r="N64" s="49">
        <v>0</v>
      </c>
      <c r="O64" s="49">
        <v>0</v>
      </c>
      <c r="P64" s="49">
        <v>0</v>
      </c>
      <c r="Q64" s="49">
        <v>0</v>
      </c>
      <c r="R64" s="49">
        <v>0</v>
      </c>
      <c r="S64" s="49">
        <v>0</v>
      </c>
      <c r="T64" s="49">
        <v>0</v>
      </c>
      <c r="U64" s="49">
        <v>0</v>
      </c>
      <c r="V64" s="49">
        <v>0</v>
      </c>
      <c r="W64" s="49">
        <v>0</v>
      </c>
      <c r="X64" s="49">
        <v>0</v>
      </c>
      <c r="Y64" s="49">
        <v>0</v>
      </c>
      <c r="Z64" s="49">
        <v>611.74</v>
      </c>
    </row>
    <row r="65" customHeight="1" spans="1:26">
      <c r="A65" s="70" t="s">
        <v>83</v>
      </c>
      <c r="B65" s="53">
        <v>-1353.75</v>
      </c>
      <c r="C65" s="53">
        <v>1353.75</v>
      </c>
      <c r="D65" s="49">
        <v>0</v>
      </c>
      <c r="E65" s="49">
        <v>0</v>
      </c>
      <c r="F65" s="49">
        <v>0</v>
      </c>
      <c r="G65" s="49">
        <v>0</v>
      </c>
      <c r="H65" s="49">
        <v>0</v>
      </c>
      <c r="I65" s="49">
        <v>0</v>
      </c>
      <c r="J65" s="49">
        <v>0</v>
      </c>
      <c r="K65" s="49">
        <v>0</v>
      </c>
      <c r="L65" s="49">
        <v>0</v>
      </c>
      <c r="M65" s="49">
        <v>577.5</v>
      </c>
      <c r="N65" s="49">
        <v>577.5</v>
      </c>
      <c r="O65" s="53">
        <v>2290.4</v>
      </c>
      <c r="P65" s="49">
        <v>0</v>
      </c>
      <c r="Q65" s="49">
        <v>0</v>
      </c>
      <c r="R65" s="49">
        <v>0</v>
      </c>
      <c r="S65" s="49">
        <v>0</v>
      </c>
      <c r="T65" s="49">
        <v>0</v>
      </c>
      <c r="U65" s="49">
        <v>0</v>
      </c>
      <c r="V65" s="49">
        <v>0</v>
      </c>
      <c r="W65" s="49">
        <v>0</v>
      </c>
      <c r="X65" s="49">
        <v>412.64</v>
      </c>
      <c r="Y65" s="49">
        <v>0</v>
      </c>
      <c r="Z65" s="53">
        <v>3858.04</v>
      </c>
    </row>
    <row r="66" customHeight="1" spans="1:26">
      <c r="A66" s="70" t="s">
        <v>84</v>
      </c>
      <c r="B66" s="53">
        <v>1239.01</v>
      </c>
      <c r="C66" s="49">
        <v>130.41</v>
      </c>
      <c r="D66" s="49">
        <v>0</v>
      </c>
      <c r="E66" s="49">
        <v>164.91</v>
      </c>
      <c r="F66" s="49">
        <v>26.97</v>
      </c>
      <c r="G66" s="49">
        <v>230</v>
      </c>
      <c r="H66" s="49">
        <v>0</v>
      </c>
      <c r="I66" s="49">
        <v>0</v>
      </c>
      <c r="J66" s="49">
        <v>0</v>
      </c>
      <c r="K66" s="49">
        <v>0</v>
      </c>
      <c r="L66" s="49">
        <v>29.65</v>
      </c>
      <c r="M66" s="49">
        <v>0</v>
      </c>
      <c r="N66" s="49">
        <v>0</v>
      </c>
      <c r="O66" s="49">
        <v>787.3</v>
      </c>
      <c r="P66" s="49">
        <v>0</v>
      </c>
      <c r="Q66" s="49">
        <v>0</v>
      </c>
      <c r="R66" s="49">
        <v>230</v>
      </c>
      <c r="S66" s="49">
        <v>0</v>
      </c>
      <c r="T66" s="49">
        <v>0</v>
      </c>
      <c r="U66" s="49">
        <v>0</v>
      </c>
      <c r="V66" s="49">
        <v>500</v>
      </c>
      <c r="W66" s="49">
        <v>0</v>
      </c>
      <c r="X66" s="49">
        <v>0</v>
      </c>
      <c r="Y66" s="49">
        <v>0</v>
      </c>
      <c r="Z66" s="53">
        <v>3338.25</v>
      </c>
    </row>
    <row r="67" customHeight="1" spans="1:26">
      <c r="A67" s="60" t="s">
        <v>246</v>
      </c>
      <c r="B67" s="54">
        <v>31758.65</v>
      </c>
      <c r="C67" s="54">
        <v>-11445.51</v>
      </c>
      <c r="D67" s="54">
        <v>1342.99</v>
      </c>
      <c r="E67" s="57">
        <v>739.91</v>
      </c>
      <c r="F67" s="57">
        <v>26.97</v>
      </c>
      <c r="G67" s="54">
        <v>1231.7</v>
      </c>
      <c r="H67" s="57">
        <v>0</v>
      </c>
      <c r="I67" s="54">
        <v>5603.88</v>
      </c>
      <c r="J67" s="57">
        <v>102.6</v>
      </c>
      <c r="K67" s="57">
        <v>956.29</v>
      </c>
      <c r="L67" s="54">
        <v>4902.24</v>
      </c>
      <c r="M67" s="54">
        <v>2727.5</v>
      </c>
      <c r="N67" s="54">
        <v>7506.73</v>
      </c>
      <c r="O67" s="54">
        <v>33650.9</v>
      </c>
      <c r="P67" s="57">
        <v>0</v>
      </c>
      <c r="Q67" s="54">
        <v>6361.7</v>
      </c>
      <c r="R67" s="54">
        <v>16583</v>
      </c>
      <c r="S67" s="54">
        <v>5800</v>
      </c>
      <c r="T67" s="57">
        <v>135</v>
      </c>
      <c r="U67" s="54">
        <v>3919.48</v>
      </c>
      <c r="V67" s="57">
        <v>500</v>
      </c>
      <c r="W67" s="54">
        <v>1262.78</v>
      </c>
      <c r="X67" s="54">
        <v>1674.34</v>
      </c>
      <c r="Y67" s="57">
        <v>492.37</v>
      </c>
      <c r="Z67" s="54">
        <v>115833.52</v>
      </c>
    </row>
    <row r="68" customHeight="1" spans="1:26">
      <c r="A68" s="71" t="s">
        <v>247</v>
      </c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customHeight="1" spans="1:26">
      <c r="A69" s="72" t="s">
        <v>85</v>
      </c>
      <c r="B69" s="53">
        <v>84946.44</v>
      </c>
      <c r="C69" s="53">
        <v>-84946.44</v>
      </c>
      <c r="D69" s="49">
        <v>0</v>
      </c>
      <c r="E69" s="53">
        <v>47156.06</v>
      </c>
      <c r="F69" s="49">
        <v>0</v>
      </c>
      <c r="G69" s="49">
        <v>0</v>
      </c>
      <c r="H69" s="49">
        <v>0</v>
      </c>
      <c r="I69" s="49">
        <v>0</v>
      </c>
      <c r="J69" s="53">
        <v>10000</v>
      </c>
      <c r="K69" s="49">
        <v>0</v>
      </c>
      <c r="L69" s="49">
        <v>0</v>
      </c>
      <c r="M69" s="49">
        <v>0</v>
      </c>
      <c r="N69" s="49">
        <v>0</v>
      </c>
      <c r="O69" s="49">
        <v>82.18</v>
      </c>
      <c r="P69" s="49">
        <v>0</v>
      </c>
      <c r="Q69" s="49">
        <v>0</v>
      </c>
      <c r="R69" s="53">
        <v>11000</v>
      </c>
      <c r="S69" s="49">
        <v>0</v>
      </c>
      <c r="T69" s="53">
        <v>6000</v>
      </c>
      <c r="U69" s="53">
        <v>6000</v>
      </c>
      <c r="V69" s="49">
        <v>0</v>
      </c>
      <c r="W69" s="53">
        <v>1150</v>
      </c>
      <c r="X69" s="53">
        <v>1000</v>
      </c>
      <c r="Y69" s="49">
        <v>0</v>
      </c>
      <c r="Z69" s="53">
        <v>82388.24</v>
      </c>
    </row>
    <row r="70" customHeight="1" spans="1:26">
      <c r="A70" s="72" t="s">
        <v>86</v>
      </c>
      <c r="B70" s="53">
        <v>1480</v>
      </c>
      <c r="C70" s="49">
        <v>0</v>
      </c>
      <c r="D70" s="49">
        <v>0</v>
      </c>
      <c r="E70" s="49">
        <v>0</v>
      </c>
      <c r="F70" s="49">
        <v>0</v>
      </c>
      <c r="G70" s="49">
        <v>0</v>
      </c>
      <c r="H70" s="49">
        <v>0</v>
      </c>
      <c r="I70" s="49">
        <v>0</v>
      </c>
      <c r="J70" s="49">
        <v>0</v>
      </c>
      <c r="K70" s="49">
        <v>0</v>
      </c>
      <c r="L70" s="49">
        <v>0</v>
      </c>
      <c r="M70" s="49">
        <v>0</v>
      </c>
      <c r="N70" s="49">
        <v>0</v>
      </c>
      <c r="O70" s="49">
        <v>0</v>
      </c>
      <c r="P70" s="49">
        <v>0</v>
      </c>
      <c r="Q70" s="49">
        <v>0</v>
      </c>
      <c r="R70" s="49">
        <v>0</v>
      </c>
      <c r="S70" s="49">
        <v>0</v>
      </c>
      <c r="T70" s="49">
        <v>0</v>
      </c>
      <c r="U70" s="49">
        <v>0</v>
      </c>
      <c r="V70" s="49">
        <v>0</v>
      </c>
      <c r="W70" s="49">
        <v>0</v>
      </c>
      <c r="X70" s="49">
        <v>0</v>
      </c>
      <c r="Y70" s="49">
        <v>0</v>
      </c>
      <c r="Z70" s="53">
        <v>1480</v>
      </c>
    </row>
    <row r="71" customHeight="1" spans="1:26">
      <c r="A71" s="72" t="s">
        <v>87</v>
      </c>
      <c r="B71" s="49">
        <v>303</v>
      </c>
      <c r="C71" s="53">
        <v>1701</v>
      </c>
      <c r="D71" s="49">
        <v>0</v>
      </c>
      <c r="E71" s="49">
        <v>0</v>
      </c>
      <c r="F71" s="49">
        <v>0</v>
      </c>
      <c r="G71" s="49">
        <v>0</v>
      </c>
      <c r="H71" s="49">
        <v>0</v>
      </c>
      <c r="I71" s="49">
        <v>0</v>
      </c>
      <c r="J71" s="49">
        <v>0</v>
      </c>
      <c r="K71" s="49">
        <v>0</v>
      </c>
      <c r="L71" s="49">
        <v>303</v>
      </c>
      <c r="M71" s="53">
        <v>1701</v>
      </c>
      <c r="N71" s="49">
        <v>0</v>
      </c>
      <c r="O71" s="53">
        <v>5617</v>
      </c>
      <c r="P71" s="49">
        <v>0</v>
      </c>
      <c r="Q71" s="49">
        <v>0</v>
      </c>
      <c r="R71" s="49">
        <v>0</v>
      </c>
      <c r="S71" s="49">
        <v>309</v>
      </c>
      <c r="T71" s="49">
        <v>0</v>
      </c>
      <c r="U71" s="49">
        <v>0</v>
      </c>
      <c r="V71" s="49">
        <v>0</v>
      </c>
      <c r="W71" s="49">
        <v>0</v>
      </c>
      <c r="X71" s="49">
        <v>618</v>
      </c>
      <c r="Y71" s="49">
        <v>0</v>
      </c>
      <c r="Z71" s="53">
        <v>10552</v>
      </c>
    </row>
    <row r="72" customHeight="1" spans="1:26">
      <c r="A72" s="71" t="s">
        <v>248</v>
      </c>
      <c r="B72" s="54">
        <v>86729.44</v>
      </c>
      <c r="C72" s="54">
        <v>-83245.44</v>
      </c>
      <c r="D72" s="57">
        <v>0</v>
      </c>
      <c r="E72" s="54">
        <v>47156.06</v>
      </c>
      <c r="F72" s="57">
        <v>0</v>
      </c>
      <c r="G72" s="57">
        <v>0</v>
      </c>
      <c r="H72" s="57">
        <v>0</v>
      </c>
      <c r="I72" s="57">
        <v>0</v>
      </c>
      <c r="J72" s="54">
        <v>10000</v>
      </c>
      <c r="K72" s="57">
        <v>0</v>
      </c>
      <c r="L72" s="57">
        <v>303</v>
      </c>
      <c r="M72" s="54">
        <v>1701</v>
      </c>
      <c r="N72" s="57">
        <v>0</v>
      </c>
      <c r="O72" s="54">
        <v>5699.18</v>
      </c>
      <c r="P72" s="57">
        <v>0</v>
      </c>
      <c r="Q72" s="57">
        <v>0</v>
      </c>
      <c r="R72" s="54">
        <v>11000</v>
      </c>
      <c r="S72" s="57">
        <v>309</v>
      </c>
      <c r="T72" s="54">
        <v>6000</v>
      </c>
      <c r="U72" s="54">
        <v>6000</v>
      </c>
      <c r="V72" s="57">
        <v>0</v>
      </c>
      <c r="W72" s="54">
        <v>1150</v>
      </c>
      <c r="X72" s="54">
        <v>1618</v>
      </c>
      <c r="Y72" s="57">
        <v>0</v>
      </c>
      <c r="Z72" s="54">
        <v>94420.24</v>
      </c>
    </row>
    <row r="73" customHeight="1" spans="1:26">
      <c r="A73" s="51" t="s">
        <v>249</v>
      </c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customHeight="1" spans="1:26">
      <c r="A74" s="52" t="s">
        <v>88</v>
      </c>
      <c r="B74" s="53">
        <v>35902.96</v>
      </c>
      <c r="C74" s="53">
        <v>6597.35</v>
      </c>
      <c r="D74" s="53">
        <v>4226.99</v>
      </c>
      <c r="E74" s="53">
        <v>4989.7</v>
      </c>
      <c r="F74" s="49">
        <v>0</v>
      </c>
      <c r="G74" s="49">
        <v>0</v>
      </c>
      <c r="H74" s="49">
        <v>0</v>
      </c>
      <c r="I74" s="49">
        <v>319.56</v>
      </c>
      <c r="J74" s="49">
        <v>0</v>
      </c>
      <c r="K74" s="49">
        <v>0</v>
      </c>
      <c r="L74" s="53">
        <v>9074.82</v>
      </c>
      <c r="M74" s="49">
        <v>106.92</v>
      </c>
      <c r="N74" s="53">
        <v>3117.83</v>
      </c>
      <c r="O74" s="53">
        <v>17331.96</v>
      </c>
      <c r="P74" s="49">
        <v>678.81</v>
      </c>
      <c r="Q74" s="53">
        <v>13750.02</v>
      </c>
      <c r="R74" s="53">
        <v>2335.48</v>
      </c>
      <c r="S74" s="53">
        <v>10094.04</v>
      </c>
      <c r="T74" s="53">
        <v>2853.76</v>
      </c>
      <c r="U74" s="53">
        <v>7011.94</v>
      </c>
      <c r="V74" s="53">
        <v>3104.7</v>
      </c>
      <c r="W74" s="53">
        <v>3923.45</v>
      </c>
      <c r="X74" s="53">
        <v>3638.58</v>
      </c>
      <c r="Y74" s="53">
        <v>2569.11</v>
      </c>
      <c r="Z74" s="53">
        <v>131627.98</v>
      </c>
    </row>
    <row r="75" customHeight="1" spans="1:26">
      <c r="A75" s="52" t="s">
        <v>89</v>
      </c>
      <c r="B75" s="53">
        <v>4566.48</v>
      </c>
      <c r="C75" s="49">
        <v>399.63</v>
      </c>
      <c r="D75" s="49">
        <v>504.61</v>
      </c>
      <c r="E75" s="49">
        <v>0</v>
      </c>
      <c r="F75" s="49">
        <v>0</v>
      </c>
      <c r="G75" s="49">
        <v>611.12</v>
      </c>
      <c r="H75" s="49">
        <v>0</v>
      </c>
      <c r="I75" s="53">
        <v>1310.73</v>
      </c>
      <c r="J75" s="49">
        <v>571.78</v>
      </c>
      <c r="K75" s="49">
        <v>245.81</v>
      </c>
      <c r="L75" s="53">
        <v>2190.66</v>
      </c>
      <c r="M75" s="53">
        <v>1345.89</v>
      </c>
      <c r="N75" s="53">
        <v>1532.52</v>
      </c>
      <c r="O75" s="53">
        <v>-1144.9</v>
      </c>
      <c r="P75" s="49">
        <v>0</v>
      </c>
      <c r="Q75" s="49">
        <v>0</v>
      </c>
      <c r="R75" s="49">
        <v>584.64</v>
      </c>
      <c r="S75" s="49">
        <v>583.88</v>
      </c>
      <c r="T75" s="53">
        <v>1138.62</v>
      </c>
      <c r="U75" s="49">
        <v>0</v>
      </c>
      <c r="V75" s="49">
        <v>0</v>
      </c>
      <c r="W75" s="53">
        <v>2022.03</v>
      </c>
      <c r="X75" s="49">
        <v>600.82</v>
      </c>
      <c r="Y75" s="49">
        <v>0</v>
      </c>
      <c r="Z75" s="53">
        <v>17064.32</v>
      </c>
    </row>
    <row r="76" customHeight="1" spans="1:26">
      <c r="A76" s="52" t="s">
        <v>90</v>
      </c>
      <c r="B76" s="53">
        <v>1633.98</v>
      </c>
      <c r="C76" s="49">
        <v>589.28</v>
      </c>
      <c r="D76" s="49">
        <v>0</v>
      </c>
      <c r="E76" s="49">
        <v>0</v>
      </c>
      <c r="F76" s="49">
        <v>0</v>
      </c>
      <c r="G76" s="49">
        <v>0</v>
      </c>
      <c r="H76" s="49">
        <v>0</v>
      </c>
      <c r="I76" s="49">
        <v>0</v>
      </c>
      <c r="J76" s="49">
        <v>0</v>
      </c>
      <c r="K76" s="49">
        <v>0</v>
      </c>
      <c r="L76" s="49">
        <v>0</v>
      </c>
      <c r="M76" s="49">
        <v>0</v>
      </c>
      <c r="N76" s="49">
        <v>0</v>
      </c>
      <c r="O76" s="49">
        <v>0</v>
      </c>
      <c r="P76" s="49">
        <v>0</v>
      </c>
      <c r="Q76" s="49">
        <v>328.72</v>
      </c>
      <c r="R76" s="49">
        <v>109.48</v>
      </c>
      <c r="S76" s="49">
        <v>0</v>
      </c>
      <c r="T76" s="49">
        <v>0</v>
      </c>
      <c r="U76" s="49">
        <v>0</v>
      </c>
      <c r="V76" s="49">
        <v>0</v>
      </c>
      <c r="W76" s="49">
        <v>0</v>
      </c>
      <c r="X76" s="53">
        <v>4788.08</v>
      </c>
      <c r="Y76" s="49">
        <v>255.15</v>
      </c>
      <c r="Z76" s="53">
        <v>7704.69</v>
      </c>
    </row>
    <row r="77" customHeight="1" spans="1:26">
      <c r="A77" s="52" t="s">
        <v>250</v>
      </c>
      <c r="B77" s="53">
        <v>5053.7</v>
      </c>
      <c r="C77" s="49">
        <v>791.59</v>
      </c>
      <c r="D77" s="49">
        <v>159.78</v>
      </c>
      <c r="E77" s="49">
        <v>159.78</v>
      </c>
      <c r="F77" s="49">
        <v>159.78</v>
      </c>
      <c r="G77" s="49">
        <v>159.78</v>
      </c>
      <c r="H77" s="49">
        <v>159.78</v>
      </c>
      <c r="I77" s="49">
        <v>988.34</v>
      </c>
      <c r="J77" s="53">
        <v>1538.98</v>
      </c>
      <c r="K77" s="49">
        <v>500.29</v>
      </c>
      <c r="L77" s="49">
        <v>482.66</v>
      </c>
      <c r="M77" s="49">
        <v>481.61</v>
      </c>
      <c r="N77" s="49">
        <v>481.58</v>
      </c>
      <c r="O77" s="49">
        <v>480.99</v>
      </c>
      <c r="P77" s="49">
        <v>483.36</v>
      </c>
      <c r="Q77" s="49">
        <v>562.92</v>
      </c>
      <c r="R77" s="49">
        <v>562.74</v>
      </c>
      <c r="S77" s="49">
        <v>602.97</v>
      </c>
      <c r="T77" s="49">
        <v>602.17</v>
      </c>
      <c r="U77" s="49">
        <v>602.11</v>
      </c>
      <c r="V77" s="49">
        <v>602.2</v>
      </c>
      <c r="W77" s="49">
        <v>602.6</v>
      </c>
      <c r="X77" s="49">
        <v>602.28</v>
      </c>
      <c r="Y77" s="49">
        <v>602.42</v>
      </c>
      <c r="Z77" s="53">
        <v>17424.41</v>
      </c>
    </row>
    <row r="78" customHeight="1" spans="1:26">
      <c r="A78" s="51" t="s">
        <v>251</v>
      </c>
      <c r="B78" s="54">
        <v>47157.12</v>
      </c>
      <c r="C78" s="54">
        <v>8377.85</v>
      </c>
      <c r="D78" s="54">
        <v>4891.38</v>
      </c>
      <c r="E78" s="54">
        <v>5149.48</v>
      </c>
      <c r="F78" s="57">
        <v>159.78</v>
      </c>
      <c r="G78" s="57">
        <v>770.9</v>
      </c>
      <c r="H78" s="57">
        <v>159.78</v>
      </c>
      <c r="I78" s="54">
        <v>2618.63</v>
      </c>
      <c r="J78" s="54">
        <v>2110.76</v>
      </c>
      <c r="K78" s="57">
        <v>746.1</v>
      </c>
      <c r="L78" s="54">
        <v>11748.14</v>
      </c>
      <c r="M78" s="54">
        <v>1934.42</v>
      </c>
      <c r="N78" s="54">
        <v>5131.93</v>
      </c>
      <c r="O78" s="54">
        <v>16668.05</v>
      </c>
      <c r="P78" s="54">
        <v>1162.17</v>
      </c>
      <c r="Q78" s="54">
        <v>14641.66</v>
      </c>
      <c r="R78" s="54">
        <v>3592.34</v>
      </c>
      <c r="S78" s="54">
        <v>11280.89</v>
      </c>
      <c r="T78" s="54">
        <v>4594.55</v>
      </c>
      <c r="U78" s="54">
        <v>7614.05</v>
      </c>
      <c r="V78" s="54">
        <v>3706.9</v>
      </c>
      <c r="W78" s="54">
        <v>6548.08</v>
      </c>
      <c r="X78" s="54">
        <v>9629.76</v>
      </c>
      <c r="Y78" s="54">
        <v>3426.68</v>
      </c>
      <c r="Z78" s="54">
        <v>173821.4</v>
      </c>
    </row>
    <row r="79" customHeight="1" spans="1:26">
      <c r="A79" s="73" t="s">
        <v>252</v>
      </c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customHeight="1" spans="1:26">
      <c r="A80" s="74" t="s">
        <v>92</v>
      </c>
      <c r="B80" s="49">
        <v>0</v>
      </c>
      <c r="C80" s="49">
        <v>68.95</v>
      </c>
      <c r="D80" s="49">
        <v>0</v>
      </c>
      <c r="E80" s="49">
        <v>0</v>
      </c>
      <c r="F80" s="49">
        <v>0</v>
      </c>
      <c r="G80" s="49">
        <v>0</v>
      </c>
      <c r="H80" s="49">
        <v>0</v>
      </c>
      <c r="I80" s="49">
        <v>0</v>
      </c>
      <c r="J80" s="49">
        <v>0</v>
      </c>
      <c r="K80" s="49">
        <v>0</v>
      </c>
      <c r="L80" s="49">
        <v>0</v>
      </c>
      <c r="M80" s="49">
        <v>0</v>
      </c>
      <c r="N80" s="49">
        <v>0</v>
      </c>
      <c r="O80" s="49">
        <v>0</v>
      </c>
      <c r="P80" s="49">
        <v>0</v>
      </c>
      <c r="Q80" s="49">
        <v>0</v>
      </c>
      <c r="R80" s="49">
        <v>0</v>
      </c>
      <c r="S80" s="49">
        <v>0</v>
      </c>
      <c r="T80" s="49">
        <v>0</v>
      </c>
      <c r="U80" s="49">
        <v>0</v>
      </c>
      <c r="V80" s="49">
        <v>0</v>
      </c>
      <c r="W80" s="49">
        <v>0</v>
      </c>
      <c r="X80" s="49">
        <v>0</v>
      </c>
      <c r="Y80" s="49">
        <v>0</v>
      </c>
      <c r="Z80" s="49">
        <v>68.95</v>
      </c>
    </row>
    <row r="81" customHeight="1" spans="1:26">
      <c r="A81" s="74" t="s">
        <v>93</v>
      </c>
      <c r="B81" s="53">
        <v>42300</v>
      </c>
      <c r="C81" s="49">
        <v>0</v>
      </c>
      <c r="D81" s="49">
        <v>0</v>
      </c>
      <c r="E81" s="53">
        <v>3800</v>
      </c>
      <c r="F81" s="53">
        <v>1900</v>
      </c>
      <c r="G81" s="49">
        <v>0</v>
      </c>
      <c r="H81" s="53">
        <v>8600</v>
      </c>
      <c r="I81" s="49">
        <v>0</v>
      </c>
      <c r="J81" s="49">
        <v>0</v>
      </c>
      <c r="K81" s="53">
        <v>11600</v>
      </c>
      <c r="L81" s="49">
        <v>0</v>
      </c>
      <c r="M81" s="49">
        <v>0</v>
      </c>
      <c r="N81" s="53">
        <v>-11600</v>
      </c>
      <c r="O81" s="53">
        <v>-14300</v>
      </c>
      <c r="P81" s="53">
        <v>11600</v>
      </c>
      <c r="Q81" s="49">
        <v>0</v>
      </c>
      <c r="R81" s="49">
        <v>0</v>
      </c>
      <c r="S81" s="49">
        <v>0</v>
      </c>
      <c r="T81" s="49">
        <v>0</v>
      </c>
      <c r="U81" s="49">
        <v>0</v>
      </c>
      <c r="V81" s="49">
        <v>0</v>
      </c>
      <c r="W81" s="49">
        <v>0</v>
      </c>
      <c r="X81" s="49">
        <v>0</v>
      </c>
      <c r="Y81" s="49">
        <v>0</v>
      </c>
      <c r="Z81" s="53">
        <v>53900</v>
      </c>
    </row>
    <row r="82" customHeight="1" spans="1:26">
      <c r="A82" s="74" t="s">
        <v>94</v>
      </c>
      <c r="B82" s="49">
        <v>289.99</v>
      </c>
      <c r="C82" s="53">
        <v>1550.05</v>
      </c>
      <c r="D82" s="49">
        <v>71</v>
      </c>
      <c r="E82" s="49">
        <v>53</v>
      </c>
      <c r="F82" s="49">
        <v>41</v>
      </c>
      <c r="G82" s="49">
        <v>41</v>
      </c>
      <c r="H82" s="49">
        <v>0</v>
      </c>
      <c r="I82" s="49">
        <v>16</v>
      </c>
      <c r="J82" s="49">
        <v>0</v>
      </c>
      <c r="K82" s="49">
        <v>76</v>
      </c>
      <c r="L82" s="49">
        <v>10</v>
      </c>
      <c r="M82" s="49">
        <v>25</v>
      </c>
      <c r="N82" s="49">
        <v>10</v>
      </c>
      <c r="O82" s="49">
        <v>16</v>
      </c>
      <c r="P82" s="49">
        <v>16</v>
      </c>
      <c r="Q82" s="49">
        <v>10</v>
      </c>
      <c r="R82" s="49">
        <v>85.79</v>
      </c>
      <c r="S82" s="49">
        <v>52</v>
      </c>
      <c r="T82" s="49">
        <v>51</v>
      </c>
      <c r="U82" s="49">
        <v>41</v>
      </c>
      <c r="V82" s="49">
        <v>31</v>
      </c>
      <c r="W82" s="49">
        <v>16</v>
      </c>
      <c r="X82" s="49">
        <v>16</v>
      </c>
      <c r="Y82" s="49">
        <v>2.42</v>
      </c>
      <c r="Z82" s="53">
        <v>2520.25</v>
      </c>
    </row>
    <row r="83" customHeight="1" spans="1:26">
      <c r="A83" s="73" t="s">
        <v>253</v>
      </c>
      <c r="B83" s="54">
        <v>42589.99</v>
      </c>
      <c r="C83" s="54">
        <v>1619</v>
      </c>
      <c r="D83" s="57">
        <v>71</v>
      </c>
      <c r="E83" s="54">
        <v>3853</v>
      </c>
      <c r="F83" s="54">
        <v>1941</v>
      </c>
      <c r="G83" s="57">
        <v>41</v>
      </c>
      <c r="H83" s="54">
        <v>8600</v>
      </c>
      <c r="I83" s="57">
        <v>16</v>
      </c>
      <c r="J83" s="57">
        <v>0</v>
      </c>
      <c r="K83" s="54">
        <v>11676</v>
      </c>
      <c r="L83" s="57">
        <v>10</v>
      </c>
      <c r="M83" s="57">
        <v>25</v>
      </c>
      <c r="N83" s="54">
        <v>-11590</v>
      </c>
      <c r="O83" s="54">
        <v>-14284</v>
      </c>
      <c r="P83" s="54">
        <v>11616</v>
      </c>
      <c r="Q83" s="57">
        <v>10</v>
      </c>
      <c r="R83" s="57">
        <v>85.79</v>
      </c>
      <c r="S83" s="57">
        <v>52</v>
      </c>
      <c r="T83" s="57">
        <v>51</v>
      </c>
      <c r="U83" s="57">
        <v>41</v>
      </c>
      <c r="V83" s="57">
        <v>31</v>
      </c>
      <c r="W83" s="57">
        <v>16</v>
      </c>
      <c r="X83" s="57">
        <v>16</v>
      </c>
      <c r="Y83" s="57">
        <v>2.42</v>
      </c>
      <c r="Z83" s="54">
        <v>56489.2</v>
      </c>
    </row>
    <row r="84" customHeight="1" spans="1:26">
      <c r="A84" s="75" t="s">
        <v>254</v>
      </c>
      <c r="B84" s="53">
        <v>4344.81</v>
      </c>
      <c r="C84" s="53">
        <v>-1215</v>
      </c>
      <c r="D84" s="49">
        <v>0</v>
      </c>
      <c r="E84" s="49">
        <v>0</v>
      </c>
      <c r="F84" s="49">
        <v>0</v>
      </c>
      <c r="G84" s="49">
        <v>0</v>
      </c>
      <c r="H84" s="53">
        <v>7835.82</v>
      </c>
      <c r="I84" s="49">
        <v>0</v>
      </c>
      <c r="J84" s="49">
        <v>60.82</v>
      </c>
      <c r="K84" s="49">
        <v>0</v>
      </c>
      <c r="L84" s="49">
        <v>45</v>
      </c>
      <c r="M84" s="49">
        <v>0</v>
      </c>
      <c r="N84" s="49">
        <v>0</v>
      </c>
      <c r="O84" s="53">
        <v>4000</v>
      </c>
      <c r="P84" s="49">
        <v>0</v>
      </c>
      <c r="Q84" s="49">
        <v>0</v>
      </c>
      <c r="R84" s="49">
        <v>0</v>
      </c>
      <c r="S84" s="49">
        <v>0</v>
      </c>
      <c r="T84" s="49">
        <v>0</v>
      </c>
      <c r="U84" s="53">
        <v>4548.39</v>
      </c>
      <c r="V84" s="49">
        <v>0</v>
      </c>
      <c r="W84" s="49">
        <v>0</v>
      </c>
      <c r="X84" s="49">
        <v>0</v>
      </c>
      <c r="Y84" s="49">
        <v>0</v>
      </c>
      <c r="Z84" s="53">
        <v>19619.84</v>
      </c>
    </row>
    <row r="85" customHeight="1" spans="1:26">
      <c r="A85" s="75" t="s">
        <v>95</v>
      </c>
      <c r="B85" s="49">
        <v>750</v>
      </c>
      <c r="C85" s="53">
        <v>1650</v>
      </c>
      <c r="D85" s="49">
        <v>0</v>
      </c>
      <c r="E85" s="49">
        <v>0</v>
      </c>
      <c r="F85" s="53">
        <v>7775</v>
      </c>
      <c r="G85" s="49">
        <v>500</v>
      </c>
      <c r="H85" s="49">
        <v>0</v>
      </c>
      <c r="I85" s="49">
        <v>0</v>
      </c>
      <c r="J85" s="49">
        <v>-250</v>
      </c>
      <c r="K85" s="49">
        <v>0</v>
      </c>
      <c r="L85" s="53">
        <v>2220.87</v>
      </c>
      <c r="M85" s="49">
        <v>0</v>
      </c>
      <c r="N85" s="49">
        <v>0</v>
      </c>
      <c r="O85" s="49">
        <v>0</v>
      </c>
      <c r="P85" s="49">
        <v>0</v>
      </c>
      <c r="Q85" s="49">
        <v>0</v>
      </c>
      <c r="R85" s="49">
        <v>0</v>
      </c>
      <c r="S85" s="49">
        <v>0</v>
      </c>
      <c r="T85" s="49">
        <v>0</v>
      </c>
      <c r="U85" s="49">
        <v>0</v>
      </c>
      <c r="V85" s="49">
        <v>0</v>
      </c>
      <c r="W85" s="49">
        <v>0</v>
      </c>
      <c r="X85" s="49">
        <v>0</v>
      </c>
      <c r="Y85" s="49">
        <v>0</v>
      </c>
      <c r="Z85" s="53">
        <v>12645.87</v>
      </c>
    </row>
    <row r="86" customHeight="1" spans="1:26">
      <c r="A86" s="75" t="s">
        <v>96</v>
      </c>
      <c r="B86" s="53">
        <v>1220.73</v>
      </c>
      <c r="C86" s="49">
        <v>0</v>
      </c>
      <c r="D86" s="49">
        <v>0</v>
      </c>
      <c r="E86" s="49">
        <v>0</v>
      </c>
      <c r="F86" s="49">
        <v>0</v>
      </c>
      <c r="G86" s="49">
        <v>0</v>
      </c>
      <c r="H86" s="49">
        <v>0</v>
      </c>
      <c r="I86" s="49">
        <v>0</v>
      </c>
      <c r="J86" s="49">
        <v>0</v>
      </c>
      <c r="K86" s="49">
        <v>0</v>
      </c>
      <c r="L86" s="49">
        <v>0</v>
      </c>
      <c r="M86" s="49">
        <v>0</v>
      </c>
      <c r="N86" s="49">
        <v>0</v>
      </c>
      <c r="O86" s="49">
        <v>0</v>
      </c>
      <c r="P86" s="49">
        <v>0</v>
      </c>
      <c r="Q86" s="49">
        <v>0</v>
      </c>
      <c r="R86" s="49">
        <v>0</v>
      </c>
      <c r="S86" s="49">
        <v>0</v>
      </c>
      <c r="T86" s="49">
        <v>0</v>
      </c>
      <c r="U86" s="49">
        <v>0</v>
      </c>
      <c r="V86" s="49">
        <v>0</v>
      </c>
      <c r="W86" s="49">
        <v>0</v>
      </c>
      <c r="X86" s="49">
        <v>0</v>
      </c>
      <c r="Y86" s="49">
        <v>0</v>
      </c>
      <c r="Z86" s="53">
        <v>1220.73</v>
      </c>
    </row>
    <row r="87" customHeight="1" spans="1:26">
      <c r="A87" s="75" t="s">
        <v>255</v>
      </c>
      <c r="B87" s="54">
        <v>6315.54</v>
      </c>
      <c r="C87" s="57">
        <v>435</v>
      </c>
      <c r="D87" s="57">
        <v>0</v>
      </c>
      <c r="E87" s="57">
        <v>0</v>
      </c>
      <c r="F87" s="54">
        <v>7775</v>
      </c>
      <c r="G87" s="57">
        <v>500</v>
      </c>
      <c r="H87" s="54">
        <v>7835.82</v>
      </c>
      <c r="I87" s="57">
        <v>0</v>
      </c>
      <c r="J87" s="57">
        <v>-189.18</v>
      </c>
      <c r="K87" s="57">
        <v>0</v>
      </c>
      <c r="L87" s="54">
        <v>2265.87</v>
      </c>
      <c r="M87" s="57">
        <v>0</v>
      </c>
      <c r="N87" s="57">
        <v>0</v>
      </c>
      <c r="O87" s="54">
        <v>4000</v>
      </c>
      <c r="P87" s="57">
        <v>0</v>
      </c>
      <c r="Q87" s="57">
        <v>0</v>
      </c>
      <c r="R87" s="57">
        <v>0</v>
      </c>
      <c r="S87" s="57">
        <v>0</v>
      </c>
      <c r="T87" s="57">
        <v>0</v>
      </c>
      <c r="U87" s="54">
        <v>4548.39</v>
      </c>
      <c r="V87" s="57">
        <v>0</v>
      </c>
      <c r="W87" s="57">
        <v>0</v>
      </c>
      <c r="X87" s="57">
        <v>0</v>
      </c>
      <c r="Y87" s="57">
        <v>0</v>
      </c>
      <c r="Z87" s="54">
        <v>33486.44</v>
      </c>
    </row>
    <row r="88" customHeight="1" spans="1:26">
      <c r="A88" s="51" t="s">
        <v>256</v>
      </c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customHeight="1" spans="1:26">
      <c r="A89" s="52" t="s">
        <v>97</v>
      </c>
      <c r="B89" s="49">
        <v>895</v>
      </c>
      <c r="C89" s="49">
        <v>0</v>
      </c>
      <c r="D89" s="49">
        <v>0</v>
      </c>
      <c r="E89" s="49">
        <v>0</v>
      </c>
      <c r="F89" s="49">
        <v>0</v>
      </c>
      <c r="G89" s="49">
        <v>0</v>
      </c>
      <c r="H89" s="49">
        <v>0</v>
      </c>
      <c r="I89" s="49">
        <v>0</v>
      </c>
      <c r="J89" s="49">
        <v>0</v>
      </c>
      <c r="K89" s="49">
        <v>0</v>
      </c>
      <c r="L89" s="49">
        <v>895</v>
      </c>
      <c r="M89" s="49">
        <v>0</v>
      </c>
      <c r="N89" s="49">
        <v>0</v>
      </c>
      <c r="O89" s="49">
        <v>0</v>
      </c>
      <c r="P89" s="53">
        <v>1600</v>
      </c>
      <c r="Q89" s="49">
        <v>0</v>
      </c>
      <c r="R89" s="49">
        <v>0</v>
      </c>
      <c r="S89" s="49">
        <v>0</v>
      </c>
      <c r="T89" s="49">
        <v>0</v>
      </c>
      <c r="U89" s="49">
        <v>0</v>
      </c>
      <c r="V89" s="49">
        <v>0</v>
      </c>
      <c r="W89" s="49">
        <v>0</v>
      </c>
      <c r="X89" s="49">
        <v>0</v>
      </c>
      <c r="Y89" s="49">
        <v>0</v>
      </c>
      <c r="Z89" s="53">
        <v>3390</v>
      </c>
    </row>
    <row r="90" customHeight="1" spans="1:26">
      <c r="A90" s="52" t="s">
        <v>257</v>
      </c>
      <c r="B90" s="49">
        <v>0</v>
      </c>
      <c r="C90" s="49">
        <v>0</v>
      </c>
      <c r="D90" s="49">
        <v>0</v>
      </c>
      <c r="E90" s="49">
        <v>0</v>
      </c>
      <c r="F90" s="49">
        <v>0</v>
      </c>
      <c r="G90" s="49">
        <v>0</v>
      </c>
      <c r="H90" s="49">
        <v>0</v>
      </c>
      <c r="I90" s="49">
        <v>0</v>
      </c>
      <c r="J90" s="49">
        <v>0</v>
      </c>
      <c r="K90" s="49">
        <v>0</v>
      </c>
      <c r="L90" s="49">
        <v>0</v>
      </c>
      <c r="M90" s="49">
        <v>0</v>
      </c>
      <c r="N90" s="49">
        <v>0</v>
      </c>
      <c r="O90" s="53">
        <v>55642</v>
      </c>
      <c r="P90" s="49">
        <v>0</v>
      </c>
      <c r="Q90" s="49">
        <v>0</v>
      </c>
      <c r="R90" s="49">
        <v>0</v>
      </c>
      <c r="S90" s="49">
        <v>0</v>
      </c>
      <c r="T90" s="49">
        <v>0</v>
      </c>
      <c r="U90" s="49">
        <v>0</v>
      </c>
      <c r="V90" s="49">
        <v>0</v>
      </c>
      <c r="W90" s="49">
        <v>0</v>
      </c>
      <c r="X90" s="49">
        <v>0</v>
      </c>
      <c r="Y90" s="49">
        <v>0</v>
      </c>
      <c r="Z90" s="53">
        <v>55642</v>
      </c>
    </row>
    <row r="91" customHeight="1" spans="1:26">
      <c r="A91" s="52" t="s">
        <v>258</v>
      </c>
      <c r="B91" s="49">
        <v>0</v>
      </c>
      <c r="C91" s="53">
        <v>30857</v>
      </c>
      <c r="D91" s="49">
        <v>0</v>
      </c>
      <c r="E91" s="49">
        <v>0</v>
      </c>
      <c r="F91" s="49">
        <v>0</v>
      </c>
      <c r="G91" s="49">
        <v>0</v>
      </c>
      <c r="H91" s="49">
        <v>0</v>
      </c>
      <c r="I91" s="49">
        <v>0</v>
      </c>
      <c r="J91" s="49">
        <v>0</v>
      </c>
      <c r="K91" s="49">
        <v>0</v>
      </c>
      <c r="L91" s="49">
        <v>0</v>
      </c>
      <c r="M91" s="49">
        <v>0</v>
      </c>
      <c r="N91" s="49">
        <v>0</v>
      </c>
      <c r="O91" s="53">
        <v>30857</v>
      </c>
      <c r="P91" s="49">
        <v>0</v>
      </c>
      <c r="Q91" s="49">
        <v>0</v>
      </c>
      <c r="R91" s="49">
        <v>0</v>
      </c>
      <c r="S91" s="49">
        <v>0</v>
      </c>
      <c r="T91" s="49">
        <v>0</v>
      </c>
      <c r="U91" s="49">
        <v>0</v>
      </c>
      <c r="V91" s="49">
        <v>0</v>
      </c>
      <c r="W91" s="49">
        <v>0</v>
      </c>
      <c r="X91" s="49">
        <v>0</v>
      </c>
      <c r="Y91" s="49">
        <v>0</v>
      </c>
      <c r="Z91" s="53">
        <v>61714</v>
      </c>
    </row>
    <row r="92" customHeight="1" spans="1:26">
      <c r="A92" s="52" t="s">
        <v>259</v>
      </c>
      <c r="B92" s="49">
        <v>0</v>
      </c>
      <c r="C92" s="49">
        <v>-642.25</v>
      </c>
      <c r="D92" s="49">
        <v>0</v>
      </c>
      <c r="E92" s="49">
        <v>0</v>
      </c>
      <c r="F92" s="49">
        <v>0</v>
      </c>
      <c r="G92" s="49">
        <v>0</v>
      </c>
      <c r="H92" s="49">
        <v>0</v>
      </c>
      <c r="I92" s="49">
        <v>0</v>
      </c>
      <c r="J92" s="49">
        <v>0</v>
      </c>
      <c r="K92" s="49">
        <v>0</v>
      </c>
      <c r="L92" s="49">
        <v>0</v>
      </c>
      <c r="M92" s="49">
        <v>0</v>
      </c>
      <c r="N92" s="49">
        <v>0</v>
      </c>
      <c r="O92" s="49">
        <v>0</v>
      </c>
      <c r="P92" s="49">
        <v>0</v>
      </c>
      <c r="Q92" s="49">
        <v>0</v>
      </c>
      <c r="R92" s="49">
        <v>0</v>
      </c>
      <c r="S92" s="49">
        <v>0</v>
      </c>
      <c r="T92" s="49">
        <v>0</v>
      </c>
      <c r="U92" s="49">
        <v>0</v>
      </c>
      <c r="V92" s="49">
        <v>0</v>
      </c>
      <c r="W92" s="49">
        <v>0</v>
      </c>
      <c r="X92" s="49">
        <v>0</v>
      </c>
      <c r="Y92" s="49">
        <v>0</v>
      </c>
      <c r="Z92" s="49">
        <v>-642.25</v>
      </c>
    </row>
    <row r="93" customHeight="1" spans="1:26">
      <c r="A93" s="52" t="s">
        <v>260</v>
      </c>
      <c r="B93" s="49">
        <v>0</v>
      </c>
      <c r="C93" s="49">
        <v>0.07</v>
      </c>
      <c r="D93" s="49">
        <v>0</v>
      </c>
      <c r="E93" s="49">
        <v>0</v>
      </c>
      <c r="F93" s="49">
        <v>0</v>
      </c>
      <c r="G93" s="49">
        <v>0</v>
      </c>
      <c r="H93" s="49">
        <v>0</v>
      </c>
      <c r="I93" s="49">
        <v>0</v>
      </c>
      <c r="J93" s="49">
        <v>0</v>
      </c>
      <c r="K93" s="49">
        <v>0</v>
      </c>
      <c r="L93" s="49">
        <v>0</v>
      </c>
      <c r="M93" s="49">
        <v>0</v>
      </c>
      <c r="N93" s="49">
        <v>0</v>
      </c>
      <c r="O93" s="49">
        <v>0</v>
      </c>
      <c r="P93" s="49">
        <v>0</v>
      </c>
      <c r="Q93" s="49">
        <v>0</v>
      </c>
      <c r="R93" s="49">
        <v>0</v>
      </c>
      <c r="S93" s="49">
        <v>0</v>
      </c>
      <c r="T93" s="49">
        <v>0</v>
      </c>
      <c r="U93" s="49">
        <v>0</v>
      </c>
      <c r="V93" s="49">
        <v>0</v>
      </c>
      <c r="W93" s="49">
        <v>0</v>
      </c>
      <c r="X93" s="49">
        <v>0</v>
      </c>
      <c r="Y93" s="49">
        <v>0</v>
      </c>
      <c r="Z93" s="49">
        <v>0.07</v>
      </c>
    </row>
    <row r="94" customHeight="1" spans="1:26">
      <c r="A94" s="51" t="s">
        <v>261</v>
      </c>
      <c r="B94" s="57">
        <v>895</v>
      </c>
      <c r="C94" s="54">
        <v>30214.82</v>
      </c>
      <c r="D94" s="57">
        <v>0</v>
      </c>
      <c r="E94" s="57">
        <v>0</v>
      </c>
      <c r="F94" s="57">
        <v>0</v>
      </c>
      <c r="G94" s="57">
        <v>0</v>
      </c>
      <c r="H94" s="57">
        <v>0</v>
      </c>
      <c r="I94" s="57">
        <v>0</v>
      </c>
      <c r="J94" s="57">
        <v>0</v>
      </c>
      <c r="K94" s="57">
        <v>0</v>
      </c>
      <c r="L94" s="57">
        <v>895</v>
      </c>
      <c r="M94" s="57">
        <v>0</v>
      </c>
      <c r="N94" s="57">
        <v>0</v>
      </c>
      <c r="O94" s="54">
        <v>86499</v>
      </c>
      <c r="P94" s="54">
        <v>1600</v>
      </c>
      <c r="Q94" s="57">
        <v>0</v>
      </c>
      <c r="R94" s="57">
        <v>0</v>
      </c>
      <c r="S94" s="57">
        <v>0</v>
      </c>
      <c r="T94" s="57">
        <v>0</v>
      </c>
      <c r="U94" s="57">
        <v>0</v>
      </c>
      <c r="V94" s="57">
        <v>0</v>
      </c>
      <c r="W94" s="57">
        <v>0</v>
      </c>
      <c r="X94" s="57">
        <v>0</v>
      </c>
      <c r="Y94" s="57">
        <v>0</v>
      </c>
      <c r="Z94" s="54">
        <v>120103.82</v>
      </c>
    </row>
    <row r="95" customHeight="1" spans="1:26">
      <c r="A95" s="68" t="s">
        <v>262</v>
      </c>
      <c r="B95" s="49">
        <v>0</v>
      </c>
      <c r="C95" s="53">
        <v>69335</v>
      </c>
      <c r="D95" s="49">
        <v>0</v>
      </c>
      <c r="E95" s="49">
        <v>0</v>
      </c>
      <c r="F95" s="49">
        <v>0</v>
      </c>
      <c r="G95" s="49">
        <v>0</v>
      </c>
      <c r="H95" s="49">
        <v>0</v>
      </c>
      <c r="I95" s="49">
        <v>0</v>
      </c>
      <c r="J95" s="49">
        <v>0</v>
      </c>
      <c r="K95" s="49">
        <v>0</v>
      </c>
      <c r="L95" s="49">
        <v>0</v>
      </c>
      <c r="M95" s="49">
        <v>0</v>
      </c>
      <c r="N95" s="49">
        <v>0</v>
      </c>
      <c r="O95" s="49">
        <v>0</v>
      </c>
      <c r="P95" s="49">
        <v>0</v>
      </c>
      <c r="Q95" s="49">
        <v>0</v>
      </c>
      <c r="R95" s="49">
        <v>0</v>
      </c>
      <c r="S95" s="49">
        <v>0</v>
      </c>
      <c r="T95" s="49">
        <v>0</v>
      </c>
      <c r="U95" s="49">
        <v>0</v>
      </c>
      <c r="V95" s="49">
        <v>0</v>
      </c>
      <c r="W95" s="49">
        <v>0</v>
      </c>
      <c r="X95" s="49">
        <v>0</v>
      </c>
      <c r="Y95" s="49">
        <v>0</v>
      </c>
      <c r="Z95" s="53">
        <v>69335</v>
      </c>
    </row>
    <row r="96" customHeight="1" spans="1:26">
      <c r="A96" s="76" t="s">
        <v>263</v>
      </c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customHeight="1" spans="1:26">
      <c r="A97" s="77" t="s">
        <v>264</v>
      </c>
      <c r="B97" s="49">
        <v>0</v>
      </c>
      <c r="C97" s="53">
        <v>84077.22</v>
      </c>
      <c r="D97" s="49">
        <v>0</v>
      </c>
      <c r="E97" s="49">
        <v>0</v>
      </c>
      <c r="F97" s="49">
        <v>0</v>
      </c>
      <c r="G97" s="49">
        <v>0</v>
      </c>
      <c r="H97" s="49">
        <v>0</v>
      </c>
      <c r="I97" s="49">
        <v>0</v>
      </c>
      <c r="J97" s="49">
        <v>0</v>
      </c>
      <c r="K97" s="49">
        <v>0</v>
      </c>
      <c r="L97" s="49">
        <v>0</v>
      </c>
      <c r="M97" s="49">
        <v>0</v>
      </c>
      <c r="N97" s="49">
        <v>0</v>
      </c>
      <c r="O97" s="49">
        <v>0</v>
      </c>
      <c r="P97" s="49">
        <v>0</v>
      </c>
      <c r="Q97" s="49">
        <v>0</v>
      </c>
      <c r="R97" s="49">
        <v>0</v>
      </c>
      <c r="S97" s="49">
        <v>0</v>
      </c>
      <c r="T97" s="49">
        <v>0</v>
      </c>
      <c r="U97" s="49">
        <v>0</v>
      </c>
      <c r="V97" s="49">
        <v>0</v>
      </c>
      <c r="W97" s="49">
        <v>0</v>
      </c>
      <c r="X97" s="49">
        <v>0</v>
      </c>
      <c r="Y97" s="49">
        <v>0</v>
      </c>
      <c r="Z97" s="53">
        <v>84077.22</v>
      </c>
    </row>
    <row r="98" customHeight="1" spans="1:26">
      <c r="A98" s="77" t="s">
        <v>265</v>
      </c>
      <c r="B98" s="49">
        <v>0</v>
      </c>
      <c r="C98" s="53">
        <v>4643.46</v>
      </c>
      <c r="D98" s="49">
        <v>0</v>
      </c>
      <c r="E98" s="49">
        <v>0</v>
      </c>
      <c r="F98" s="49">
        <v>0</v>
      </c>
      <c r="G98" s="49">
        <v>0</v>
      </c>
      <c r="H98" s="49">
        <v>0</v>
      </c>
      <c r="I98" s="49">
        <v>0</v>
      </c>
      <c r="J98" s="49">
        <v>0</v>
      </c>
      <c r="K98" s="49">
        <v>0</v>
      </c>
      <c r="L98" s="49">
        <v>0</v>
      </c>
      <c r="M98" s="49">
        <v>0</v>
      </c>
      <c r="N98" s="49">
        <v>0</v>
      </c>
      <c r="O98" s="49">
        <v>0</v>
      </c>
      <c r="P98" s="49">
        <v>0</v>
      </c>
      <c r="Q98" s="49">
        <v>0</v>
      </c>
      <c r="R98" s="49">
        <v>0</v>
      </c>
      <c r="S98" s="49">
        <v>0</v>
      </c>
      <c r="T98" s="49">
        <v>0</v>
      </c>
      <c r="U98" s="49">
        <v>0</v>
      </c>
      <c r="V98" s="49">
        <v>0</v>
      </c>
      <c r="W98" s="49">
        <v>0</v>
      </c>
      <c r="X98" s="49">
        <v>0</v>
      </c>
      <c r="Y98" s="49">
        <v>0</v>
      </c>
      <c r="Z98" s="53">
        <v>4643.46</v>
      </c>
    </row>
    <row r="99" customHeight="1" spans="1:26">
      <c r="A99" s="76" t="s">
        <v>266</v>
      </c>
      <c r="B99" s="57">
        <v>0</v>
      </c>
      <c r="C99" s="54">
        <v>88720.68</v>
      </c>
      <c r="D99" s="57">
        <v>0</v>
      </c>
      <c r="E99" s="57">
        <v>0</v>
      </c>
      <c r="F99" s="57">
        <v>0</v>
      </c>
      <c r="G99" s="57">
        <v>0</v>
      </c>
      <c r="H99" s="57">
        <v>0</v>
      </c>
      <c r="I99" s="57">
        <v>0</v>
      </c>
      <c r="J99" s="57">
        <v>0</v>
      </c>
      <c r="K99" s="57">
        <v>0</v>
      </c>
      <c r="L99" s="57">
        <v>0</v>
      </c>
      <c r="M99" s="57">
        <v>0</v>
      </c>
      <c r="N99" s="57">
        <v>0</v>
      </c>
      <c r="O99" s="57">
        <v>0</v>
      </c>
      <c r="P99" s="57">
        <v>0</v>
      </c>
      <c r="Q99" s="57">
        <v>0</v>
      </c>
      <c r="R99" s="57">
        <v>0</v>
      </c>
      <c r="S99" s="57">
        <v>0</v>
      </c>
      <c r="T99" s="57">
        <v>0</v>
      </c>
      <c r="U99" s="57">
        <v>0</v>
      </c>
      <c r="V99" s="57">
        <v>0</v>
      </c>
      <c r="W99" s="57">
        <v>0</v>
      </c>
      <c r="X99" s="57">
        <v>0</v>
      </c>
      <c r="Y99" s="57">
        <v>0</v>
      </c>
      <c r="Z99" s="54">
        <v>88720.68</v>
      </c>
    </row>
    <row r="100" customHeight="1" spans="1:26">
      <c r="A100" s="66" t="s">
        <v>267</v>
      </c>
      <c r="B100" s="53">
        <v>-17213.74</v>
      </c>
      <c r="C100" s="53">
        <v>17213.74</v>
      </c>
      <c r="D100" s="49">
        <v>0</v>
      </c>
      <c r="E100" s="49">
        <v>0</v>
      </c>
      <c r="F100" s="49">
        <v>0</v>
      </c>
      <c r="G100" s="49">
        <v>0</v>
      </c>
      <c r="H100" s="49">
        <v>0</v>
      </c>
      <c r="I100" s="49">
        <v>0</v>
      </c>
      <c r="J100" s="49">
        <v>631.47</v>
      </c>
      <c r="K100" s="49">
        <v>0</v>
      </c>
      <c r="L100" s="53">
        <v>5617</v>
      </c>
      <c r="M100" s="49">
        <v>0</v>
      </c>
      <c r="N100" s="53">
        <v>-3880</v>
      </c>
      <c r="O100" s="53">
        <v>-2368.47</v>
      </c>
      <c r="P100" s="49">
        <v>0</v>
      </c>
      <c r="Q100" s="49">
        <v>0</v>
      </c>
      <c r="R100" s="49">
        <v>0</v>
      </c>
      <c r="S100" s="49">
        <v>0</v>
      </c>
      <c r="T100" s="49">
        <v>0</v>
      </c>
      <c r="U100" s="49">
        <v>0</v>
      </c>
      <c r="V100" s="49">
        <v>0</v>
      </c>
      <c r="W100" s="53">
        <v>3546.66</v>
      </c>
      <c r="X100" s="49">
        <v>0</v>
      </c>
      <c r="Y100" s="49">
        <v>0</v>
      </c>
      <c r="Z100" s="53">
        <v>3546.66</v>
      </c>
    </row>
    <row r="101" customHeight="1" spans="1:26">
      <c r="A101" s="60" t="s">
        <v>268</v>
      </c>
      <c r="B101" s="54">
        <v>251897.91</v>
      </c>
      <c r="C101" s="54">
        <v>251635.23</v>
      </c>
      <c r="D101" s="54">
        <v>10867.63</v>
      </c>
      <c r="E101" s="54">
        <v>56898.45</v>
      </c>
      <c r="F101" s="54">
        <v>15800.75</v>
      </c>
      <c r="G101" s="54">
        <v>20992.09</v>
      </c>
      <c r="H101" s="54">
        <v>42150.6</v>
      </c>
      <c r="I101" s="54">
        <v>30843.68</v>
      </c>
      <c r="J101" s="54">
        <v>13183.59</v>
      </c>
      <c r="K101" s="54">
        <v>13867.89</v>
      </c>
      <c r="L101" s="54">
        <v>27495.19</v>
      </c>
      <c r="M101" s="54">
        <v>6485.32</v>
      </c>
      <c r="N101" s="57">
        <v>393.32</v>
      </c>
      <c r="O101" s="54">
        <v>313246.87</v>
      </c>
      <c r="P101" s="54">
        <v>22375.2</v>
      </c>
      <c r="Q101" s="54">
        <v>42918.51</v>
      </c>
      <c r="R101" s="54">
        <v>49953.28</v>
      </c>
      <c r="S101" s="54">
        <v>36134.04</v>
      </c>
      <c r="T101" s="54">
        <v>29472.7</v>
      </c>
      <c r="U101" s="54">
        <v>77177.7</v>
      </c>
      <c r="V101" s="54">
        <v>22930.05</v>
      </c>
      <c r="W101" s="54">
        <v>34077.67</v>
      </c>
      <c r="X101" s="54">
        <v>34793.35</v>
      </c>
      <c r="Y101" s="54">
        <v>23208.04</v>
      </c>
      <c r="Z101" s="54">
        <v>1428799.06</v>
      </c>
    </row>
    <row r="102" customHeight="1" spans="1:26">
      <c r="A102" s="48" t="s">
        <v>269</v>
      </c>
      <c r="B102" s="54">
        <v>295833.11</v>
      </c>
      <c r="C102" s="54">
        <v>-302775.14</v>
      </c>
      <c r="D102" s="54">
        <v>34003.45</v>
      </c>
      <c r="E102" s="54">
        <v>-1107.72</v>
      </c>
      <c r="F102" s="54">
        <v>29260.47</v>
      </c>
      <c r="G102" s="54">
        <v>32276.94</v>
      </c>
      <c r="H102" s="54">
        <v>5193.95</v>
      </c>
      <c r="I102" s="54">
        <v>6787.67</v>
      </c>
      <c r="J102" s="54">
        <v>12560.93</v>
      </c>
      <c r="K102" s="54">
        <v>26195.79</v>
      </c>
      <c r="L102" s="54">
        <v>14696.76</v>
      </c>
      <c r="M102" s="54">
        <v>39203.81</v>
      </c>
      <c r="N102" s="54">
        <v>41795.4</v>
      </c>
      <c r="O102" s="54">
        <v>-256180.13</v>
      </c>
      <c r="P102" s="54">
        <v>24911.3</v>
      </c>
      <c r="Q102" s="57">
        <v>952.45</v>
      </c>
      <c r="R102" s="54">
        <v>-3431.55</v>
      </c>
      <c r="S102" s="54">
        <v>14088.71</v>
      </c>
      <c r="T102" s="54">
        <v>13247.69</v>
      </c>
      <c r="U102" s="54">
        <v>-33073.09</v>
      </c>
      <c r="V102" s="54">
        <v>30094.97</v>
      </c>
      <c r="W102" s="54">
        <v>-7130.98</v>
      </c>
      <c r="X102" s="54">
        <v>8162.7</v>
      </c>
      <c r="Y102" s="54">
        <v>22524.33</v>
      </c>
      <c r="Z102" s="54">
        <v>48091.82</v>
      </c>
    </row>
    <row r="103" customHeight="1" spans="1:26">
      <c r="A103" s="4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customHeight="1" spans="1:26">
      <c r="A104" s="68" t="s">
        <v>270</v>
      </c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customHeight="1" spans="1:26">
      <c r="A105" s="68" t="s">
        <v>271</v>
      </c>
      <c r="B105" s="53">
        <v>5586.51</v>
      </c>
      <c r="C105" s="53">
        <v>-7112.77</v>
      </c>
      <c r="D105" s="49">
        <v>76.86</v>
      </c>
      <c r="E105" s="49">
        <v>-30.98</v>
      </c>
      <c r="F105" s="49">
        <v>229.43</v>
      </c>
      <c r="G105" s="53">
        <v>-5334.15</v>
      </c>
      <c r="H105" s="53">
        <v>3646.91</v>
      </c>
      <c r="I105" s="53">
        <v>-3484.46</v>
      </c>
      <c r="J105" s="49">
        <v>0</v>
      </c>
      <c r="K105" s="49">
        <v>20.09</v>
      </c>
      <c r="L105" s="53">
        <v>1739.42</v>
      </c>
      <c r="M105" s="53">
        <v>-2119.38</v>
      </c>
      <c r="N105" s="53">
        <v>5600.4</v>
      </c>
      <c r="O105" s="53">
        <v>-4296.35</v>
      </c>
      <c r="P105" s="53">
        <v>3130.21</v>
      </c>
      <c r="Q105" s="53">
        <v>2665.54</v>
      </c>
      <c r="R105" s="53">
        <v>-2364.54</v>
      </c>
      <c r="S105" s="53">
        <v>-1562.76</v>
      </c>
      <c r="T105" s="49">
        <v>-697.81</v>
      </c>
      <c r="U105" s="53">
        <v>2187.55</v>
      </c>
      <c r="V105" s="49">
        <v>-8.84</v>
      </c>
      <c r="W105" s="49">
        <v>795</v>
      </c>
      <c r="X105" s="53">
        <v>-1066.06</v>
      </c>
      <c r="Y105" s="53">
        <v>-1472.57</v>
      </c>
      <c r="Z105" s="53">
        <v>-3872.75</v>
      </c>
    </row>
    <row r="106" customHeight="1" spans="1:26">
      <c r="A106" s="68" t="s">
        <v>272</v>
      </c>
      <c r="B106" s="53">
        <v>-63000</v>
      </c>
      <c r="C106" s="53">
        <v>63000</v>
      </c>
      <c r="D106" s="49">
        <v>0</v>
      </c>
      <c r="E106" s="49">
        <v>0</v>
      </c>
      <c r="F106" s="49">
        <v>0</v>
      </c>
      <c r="G106" s="49">
        <v>0</v>
      </c>
      <c r="H106" s="49">
        <v>0</v>
      </c>
      <c r="I106" s="49">
        <v>0</v>
      </c>
      <c r="J106" s="49">
        <v>0</v>
      </c>
      <c r="K106" s="49">
        <v>0</v>
      </c>
      <c r="L106" s="49">
        <v>0</v>
      </c>
      <c r="M106" s="49">
        <v>0</v>
      </c>
      <c r="N106" s="49">
        <v>0</v>
      </c>
      <c r="O106" s="49">
        <v>0</v>
      </c>
      <c r="P106" s="49">
        <v>0</v>
      </c>
      <c r="Q106" s="49">
        <v>0</v>
      </c>
      <c r="R106" s="49">
        <v>0</v>
      </c>
      <c r="S106" s="49">
        <v>0</v>
      </c>
      <c r="T106" s="49">
        <v>0</v>
      </c>
      <c r="U106" s="49">
        <v>0</v>
      </c>
      <c r="V106" s="49">
        <v>0</v>
      </c>
      <c r="W106" s="49">
        <v>0</v>
      </c>
      <c r="X106" s="49">
        <v>0</v>
      </c>
      <c r="Y106" s="49">
        <v>0</v>
      </c>
      <c r="Z106" s="49">
        <v>0</v>
      </c>
    </row>
    <row r="107" customHeight="1" spans="1:26">
      <c r="A107" s="68" t="s">
        <v>273</v>
      </c>
      <c r="B107" s="49">
        <v>0</v>
      </c>
      <c r="C107" s="53">
        <v>-11000</v>
      </c>
      <c r="D107" s="49">
        <v>0</v>
      </c>
      <c r="E107" s="49">
        <v>0</v>
      </c>
      <c r="F107" s="49">
        <v>0</v>
      </c>
      <c r="G107" s="49">
        <v>0</v>
      </c>
      <c r="H107" s="49">
        <v>0</v>
      </c>
      <c r="I107" s="49">
        <v>0</v>
      </c>
      <c r="J107" s="49">
        <v>0</v>
      </c>
      <c r="K107" s="49">
        <v>0</v>
      </c>
      <c r="L107" s="49">
        <v>0</v>
      </c>
      <c r="M107" s="49">
        <v>0</v>
      </c>
      <c r="N107" s="49">
        <v>0</v>
      </c>
      <c r="O107" s="49">
        <v>0</v>
      </c>
      <c r="P107" s="49">
        <v>0</v>
      </c>
      <c r="Q107" s="49">
        <v>0</v>
      </c>
      <c r="R107" s="49">
        <v>0</v>
      </c>
      <c r="S107" s="49">
        <v>0</v>
      </c>
      <c r="T107" s="49">
        <v>0</v>
      </c>
      <c r="U107" s="49">
        <v>0</v>
      </c>
      <c r="V107" s="49">
        <v>0</v>
      </c>
      <c r="W107" s="49">
        <v>0</v>
      </c>
      <c r="X107" s="49">
        <v>0</v>
      </c>
      <c r="Y107" s="49">
        <v>0</v>
      </c>
      <c r="Z107" s="53">
        <v>-11000</v>
      </c>
    </row>
    <row r="108" customHeight="1" spans="1:26">
      <c r="A108" s="68" t="s">
        <v>274</v>
      </c>
      <c r="B108" s="53">
        <v>-11000</v>
      </c>
      <c r="C108" s="53">
        <v>11000</v>
      </c>
      <c r="D108" s="49">
        <v>0</v>
      </c>
      <c r="E108" s="49">
        <v>0</v>
      </c>
      <c r="F108" s="49">
        <v>0</v>
      </c>
      <c r="G108" s="49">
        <v>0</v>
      </c>
      <c r="H108" s="49">
        <v>0</v>
      </c>
      <c r="I108" s="49">
        <v>0</v>
      </c>
      <c r="J108" s="49">
        <v>0</v>
      </c>
      <c r="K108" s="49">
        <v>0</v>
      </c>
      <c r="L108" s="49">
        <v>0</v>
      </c>
      <c r="M108" s="49">
        <v>0</v>
      </c>
      <c r="N108" s="49">
        <v>0</v>
      </c>
      <c r="O108" s="49">
        <v>0</v>
      </c>
      <c r="P108" s="49">
        <v>0</v>
      </c>
      <c r="Q108" s="49">
        <v>0</v>
      </c>
      <c r="R108" s="49">
        <v>0</v>
      </c>
      <c r="S108" s="49">
        <v>0</v>
      </c>
      <c r="T108" s="49">
        <v>0</v>
      </c>
      <c r="U108" s="49">
        <v>0</v>
      </c>
      <c r="V108" s="49">
        <v>0</v>
      </c>
      <c r="W108" s="49">
        <v>0</v>
      </c>
      <c r="X108" s="49">
        <v>0</v>
      </c>
      <c r="Y108" s="49">
        <v>0</v>
      </c>
      <c r="Z108" s="49">
        <v>0</v>
      </c>
    </row>
    <row r="109" customHeight="1" spans="1:26">
      <c r="A109" s="68" t="s">
        <v>275</v>
      </c>
      <c r="B109" s="53">
        <v>-1000</v>
      </c>
      <c r="C109" s="53">
        <v>1000</v>
      </c>
      <c r="D109" s="49">
        <v>0</v>
      </c>
      <c r="E109" s="49">
        <v>0</v>
      </c>
      <c r="F109" s="49">
        <v>0</v>
      </c>
      <c r="G109" s="49">
        <v>0</v>
      </c>
      <c r="H109" s="49">
        <v>0</v>
      </c>
      <c r="I109" s="49">
        <v>0</v>
      </c>
      <c r="J109" s="49">
        <v>0</v>
      </c>
      <c r="K109" s="49">
        <v>0</v>
      </c>
      <c r="L109" s="49">
        <v>0</v>
      </c>
      <c r="M109" s="49">
        <v>0</v>
      </c>
      <c r="N109" s="49">
        <v>0</v>
      </c>
      <c r="O109" s="49">
        <v>0</v>
      </c>
      <c r="P109" s="49">
        <v>0</v>
      </c>
      <c r="Q109" s="49">
        <v>0</v>
      </c>
      <c r="R109" s="49">
        <v>0</v>
      </c>
      <c r="S109" s="49">
        <v>0</v>
      </c>
      <c r="T109" s="49">
        <v>0</v>
      </c>
      <c r="U109" s="49">
        <v>0</v>
      </c>
      <c r="V109" s="49">
        <v>0</v>
      </c>
      <c r="W109" s="49">
        <v>0</v>
      </c>
      <c r="X109" s="49">
        <v>0</v>
      </c>
      <c r="Y109" s="49">
        <v>0</v>
      </c>
      <c r="Z109" s="49">
        <v>0</v>
      </c>
    </row>
    <row r="110" customHeight="1" spans="1:26">
      <c r="A110" s="68" t="s">
        <v>276</v>
      </c>
      <c r="B110" s="54">
        <v>-69413.49</v>
      </c>
      <c r="C110" s="79">
        <v>56887.23</v>
      </c>
      <c r="D110" s="57">
        <v>76.86</v>
      </c>
      <c r="E110" s="57">
        <v>-30.98</v>
      </c>
      <c r="F110" s="57">
        <v>229.43</v>
      </c>
      <c r="G110" s="54">
        <v>-5334.15</v>
      </c>
      <c r="H110" s="54">
        <v>3646.91</v>
      </c>
      <c r="I110" s="54">
        <v>-3484.46</v>
      </c>
      <c r="J110" s="57">
        <v>0</v>
      </c>
      <c r="K110" s="57">
        <v>20.09</v>
      </c>
      <c r="L110" s="54">
        <v>1739.42</v>
      </c>
      <c r="M110" s="54">
        <v>-2119.38</v>
      </c>
      <c r="N110" s="54">
        <v>5600.4</v>
      </c>
      <c r="O110" s="54">
        <v>-4296.35</v>
      </c>
      <c r="P110" s="54">
        <v>3130.21</v>
      </c>
      <c r="Q110" s="54">
        <v>2665.54</v>
      </c>
      <c r="R110" s="54">
        <v>-2364.54</v>
      </c>
      <c r="S110" s="54">
        <v>-1562.76</v>
      </c>
      <c r="T110" s="57">
        <v>-697.81</v>
      </c>
      <c r="U110" s="54">
        <v>2187.55</v>
      </c>
      <c r="V110" s="57">
        <v>-8.84</v>
      </c>
      <c r="W110" s="57">
        <v>795</v>
      </c>
      <c r="X110" s="54">
        <v>-1066.06</v>
      </c>
      <c r="Y110" s="54">
        <v>-1472.57</v>
      </c>
      <c r="Z110" s="54">
        <v>-14872.75</v>
      </c>
    </row>
    <row r="111" customHeight="1" spans="1:26">
      <c r="A111" s="48" t="s">
        <v>277</v>
      </c>
      <c r="B111" s="53">
        <v>-2476816</v>
      </c>
      <c r="C111" s="80">
        <v>0</v>
      </c>
      <c r="D111" s="49">
        <v>0</v>
      </c>
      <c r="E111" s="49">
        <v>0</v>
      </c>
      <c r="F111" s="49">
        <v>0</v>
      </c>
      <c r="G111" s="49">
        <v>0</v>
      </c>
      <c r="H111" s="49">
        <v>0</v>
      </c>
      <c r="I111" s="49">
        <v>0</v>
      </c>
      <c r="J111" s="49">
        <v>0</v>
      </c>
      <c r="K111" s="49">
        <v>0</v>
      </c>
      <c r="L111" s="49">
        <v>0</v>
      </c>
      <c r="M111" s="49">
        <v>0</v>
      </c>
      <c r="N111" s="49">
        <v>0</v>
      </c>
      <c r="O111" s="53">
        <v>11000</v>
      </c>
      <c r="P111" s="49">
        <v>0</v>
      </c>
      <c r="Q111" s="49">
        <v>0</v>
      </c>
      <c r="R111" s="49">
        <v>0</v>
      </c>
      <c r="S111" s="49">
        <v>0</v>
      </c>
      <c r="T111" s="49">
        <v>0</v>
      </c>
      <c r="U111" s="49">
        <v>0</v>
      </c>
      <c r="V111" s="49">
        <v>0</v>
      </c>
      <c r="W111" s="49">
        <v>0</v>
      </c>
      <c r="X111" s="49">
        <v>0</v>
      </c>
      <c r="Y111" s="49">
        <v>0</v>
      </c>
      <c r="Z111" s="53">
        <v>-2465816</v>
      </c>
    </row>
    <row r="112" customHeight="1" spans="1:26">
      <c r="A112" s="48" t="s">
        <v>278</v>
      </c>
      <c r="B112" s="53">
        <v>-938228.43</v>
      </c>
      <c r="C112" s="81">
        <v>-283771.1</v>
      </c>
      <c r="D112" s="49">
        <v>0</v>
      </c>
      <c r="E112" s="49">
        <v>0</v>
      </c>
      <c r="F112" s="49">
        <v>0</v>
      </c>
      <c r="G112" s="49">
        <v>0</v>
      </c>
      <c r="H112" s="49">
        <v>0</v>
      </c>
      <c r="I112" s="49">
        <v>0</v>
      </c>
      <c r="J112" s="49">
        <v>0</v>
      </c>
      <c r="K112" s="49">
        <v>0</v>
      </c>
      <c r="L112" s="49">
        <v>0</v>
      </c>
      <c r="M112" s="53">
        <v>-3403.75</v>
      </c>
      <c r="N112" s="49">
        <v>0</v>
      </c>
      <c r="O112" s="53">
        <v>-11208</v>
      </c>
      <c r="P112" s="49">
        <v>0</v>
      </c>
      <c r="Q112" s="49">
        <v>0</v>
      </c>
      <c r="R112" s="53">
        <v>-4500</v>
      </c>
      <c r="S112" s="49">
        <v>0</v>
      </c>
      <c r="T112" s="49">
        <v>0</v>
      </c>
      <c r="U112" s="49">
        <v>0</v>
      </c>
      <c r="V112" s="49">
        <v>0</v>
      </c>
      <c r="W112" s="49">
        <v>0</v>
      </c>
      <c r="X112" s="49">
        <v>0</v>
      </c>
      <c r="Y112" s="49">
        <v>0</v>
      </c>
      <c r="Z112" s="53">
        <v>-1241111.28</v>
      </c>
    </row>
    <row r="113" customHeight="1" spans="1:26">
      <c r="A113" s="48" t="s">
        <v>279</v>
      </c>
      <c r="B113" s="53">
        <v>1090130</v>
      </c>
      <c r="C113" s="81">
        <v>69335</v>
      </c>
      <c r="D113" s="49">
        <v>0</v>
      </c>
      <c r="E113" s="49">
        <v>0</v>
      </c>
      <c r="F113" s="49">
        <v>0</v>
      </c>
      <c r="G113" s="49">
        <v>0</v>
      </c>
      <c r="H113" s="49">
        <v>0</v>
      </c>
      <c r="I113" s="49">
        <v>0</v>
      </c>
      <c r="J113" s="49">
        <v>0</v>
      </c>
      <c r="K113" s="49">
        <v>0</v>
      </c>
      <c r="L113" s="49">
        <v>0</v>
      </c>
      <c r="M113" s="49">
        <v>0</v>
      </c>
      <c r="N113" s="49">
        <v>0</v>
      </c>
      <c r="O113" s="53">
        <v>55642</v>
      </c>
      <c r="P113" s="49">
        <v>0</v>
      </c>
      <c r="Q113" s="49">
        <v>0</v>
      </c>
      <c r="R113" s="49">
        <v>0</v>
      </c>
      <c r="S113" s="49">
        <v>0</v>
      </c>
      <c r="T113" s="49">
        <v>0</v>
      </c>
      <c r="U113" s="49">
        <v>0</v>
      </c>
      <c r="V113" s="49">
        <v>0</v>
      </c>
      <c r="W113" s="49">
        <v>0</v>
      </c>
      <c r="X113" s="49">
        <v>0</v>
      </c>
      <c r="Y113" s="49">
        <v>0</v>
      </c>
      <c r="Z113" s="53">
        <v>1215107</v>
      </c>
    </row>
    <row r="114" customHeight="1" spans="1:26">
      <c r="A114" s="48" t="s">
        <v>280</v>
      </c>
      <c r="B114" s="53">
        <v>-11208</v>
      </c>
      <c r="C114" s="80">
        <v>0</v>
      </c>
      <c r="D114" s="49">
        <v>0</v>
      </c>
      <c r="E114" s="49">
        <v>0</v>
      </c>
      <c r="F114" s="49">
        <v>0</v>
      </c>
      <c r="G114" s="49">
        <v>0</v>
      </c>
      <c r="H114" s="49">
        <v>0</v>
      </c>
      <c r="I114" s="49">
        <v>0</v>
      </c>
      <c r="J114" s="49">
        <v>0</v>
      </c>
      <c r="K114" s="49">
        <v>0</v>
      </c>
      <c r="L114" s="49">
        <v>0</v>
      </c>
      <c r="M114" s="49">
        <v>0</v>
      </c>
      <c r="N114" s="49">
        <v>0</v>
      </c>
      <c r="O114" s="53">
        <v>11208</v>
      </c>
      <c r="P114" s="49">
        <v>0</v>
      </c>
      <c r="Q114" s="49">
        <v>0</v>
      </c>
      <c r="R114" s="49">
        <v>0</v>
      </c>
      <c r="S114" s="49">
        <v>0</v>
      </c>
      <c r="T114" s="49">
        <v>0</v>
      </c>
      <c r="U114" s="49">
        <v>0</v>
      </c>
      <c r="V114" s="49">
        <v>0</v>
      </c>
      <c r="W114" s="49">
        <v>0</v>
      </c>
      <c r="X114" s="49">
        <v>0</v>
      </c>
      <c r="Y114" s="49">
        <v>0</v>
      </c>
      <c r="Z114" s="49">
        <v>0</v>
      </c>
    </row>
    <row r="115" customHeight="1" spans="1:26">
      <c r="A115" s="48" t="s">
        <v>281</v>
      </c>
      <c r="B115" s="53">
        <v>-154284.51</v>
      </c>
      <c r="C115" s="80">
        <v>0</v>
      </c>
      <c r="D115" s="49">
        <v>0</v>
      </c>
      <c r="E115" s="49">
        <v>0</v>
      </c>
      <c r="F115" s="49">
        <v>0</v>
      </c>
      <c r="G115" s="49">
        <v>0</v>
      </c>
      <c r="H115" s="49">
        <v>0</v>
      </c>
      <c r="I115" s="49">
        <v>0</v>
      </c>
      <c r="J115" s="49">
        <v>0</v>
      </c>
      <c r="K115" s="49">
        <v>0</v>
      </c>
      <c r="L115" s="49">
        <v>0</v>
      </c>
      <c r="M115" s="49">
        <v>0</v>
      </c>
      <c r="N115" s="49">
        <v>0</v>
      </c>
      <c r="O115" s="49">
        <v>0</v>
      </c>
      <c r="P115" s="49">
        <v>0</v>
      </c>
      <c r="Q115" s="49">
        <v>0</v>
      </c>
      <c r="R115" s="49">
        <v>0</v>
      </c>
      <c r="S115" s="49">
        <v>0</v>
      </c>
      <c r="T115" s="49">
        <v>0</v>
      </c>
      <c r="U115" s="49">
        <v>0</v>
      </c>
      <c r="V115" s="49">
        <v>0</v>
      </c>
      <c r="W115" s="49">
        <v>0</v>
      </c>
      <c r="X115" s="49">
        <v>0</v>
      </c>
      <c r="Y115" s="49">
        <v>0</v>
      </c>
      <c r="Z115" s="53">
        <v>-154284.51</v>
      </c>
    </row>
    <row r="116" customHeight="1" spans="1:26">
      <c r="A116" s="48" t="s">
        <v>282</v>
      </c>
      <c r="B116" s="53">
        <v>64285</v>
      </c>
      <c r="C116" s="81">
        <v>30857</v>
      </c>
      <c r="D116" s="49">
        <v>0</v>
      </c>
      <c r="E116" s="49">
        <v>0</v>
      </c>
      <c r="F116" s="49">
        <v>0</v>
      </c>
      <c r="G116" s="49">
        <v>0</v>
      </c>
      <c r="H116" s="49">
        <v>0</v>
      </c>
      <c r="I116" s="49">
        <v>0</v>
      </c>
      <c r="J116" s="49">
        <v>0</v>
      </c>
      <c r="K116" s="49">
        <v>0</v>
      </c>
      <c r="L116" s="49">
        <v>0</v>
      </c>
      <c r="M116" s="49">
        <v>0</v>
      </c>
      <c r="N116" s="49">
        <v>0</v>
      </c>
      <c r="O116" s="53">
        <v>30857</v>
      </c>
      <c r="P116" s="49">
        <v>0</v>
      </c>
      <c r="Q116" s="49">
        <v>0</v>
      </c>
      <c r="R116" s="49">
        <v>0</v>
      </c>
      <c r="S116" s="49">
        <v>0</v>
      </c>
      <c r="T116" s="49">
        <v>0</v>
      </c>
      <c r="U116" s="49">
        <v>0</v>
      </c>
      <c r="V116" s="49">
        <v>0</v>
      </c>
      <c r="W116" s="49">
        <v>0</v>
      </c>
      <c r="X116" s="49">
        <v>0</v>
      </c>
      <c r="Y116" s="49">
        <v>0</v>
      </c>
      <c r="Z116" s="53">
        <v>125999</v>
      </c>
    </row>
    <row r="117" customHeight="1" spans="1:26">
      <c r="A117" s="48" t="s">
        <v>283</v>
      </c>
      <c r="B117" s="53">
        <v>-2412</v>
      </c>
      <c r="C117" s="80">
        <v>0</v>
      </c>
      <c r="D117" s="49">
        <v>0</v>
      </c>
      <c r="E117" s="49">
        <v>0</v>
      </c>
      <c r="F117" s="49">
        <v>0</v>
      </c>
      <c r="G117" s="49">
        <v>0</v>
      </c>
      <c r="H117" s="49">
        <v>0</v>
      </c>
      <c r="I117" s="49">
        <v>0</v>
      </c>
      <c r="J117" s="49">
        <v>0</v>
      </c>
      <c r="K117" s="49">
        <v>0</v>
      </c>
      <c r="L117" s="49">
        <v>0</v>
      </c>
      <c r="M117" s="49">
        <v>0</v>
      </c>
      <c r="N117" s="49">
        <v>0</v>
      </c>
      <c r="O117" s="49">
        <v>0</v>
      </c>
      <c r="P117" s="49">
        <v>0</v>
      </c>
      <c r="Q117" s="49">
        <v>0</v>
      </c>
      <c r="R117" s="49">
        <v>0</v>
      </c>
      <c r="S117" s="49">
        <v>0</v>
      </c>
      <c r="T117" s="49">
        <v>0</v>
      </c>
      <c r="U117" s="49">
        <v>0</v>
      </c>
      <c r="V117" s="49">
        <v>0</v>
      </c>
      <c r="W117" s="49">
        <v>0</v>
      </c>
      <c r="X117" s="49">
        <v>0</v>
      </c>
      <c r="Y117" s="49">
        <v>0</v>
      </c>
      <c r="Z117" s="53">
        <v>-2412</v>
      </c>
    </row>
    <row r="118" customHeight="1" spans="1:26">
      <c r="A118" s="48" t="s">
        <v>284</v>
      </c>
      <c r="B118" s="53">
        <v>-105568.26</v>
      </c>
      <c r="C118" s="81">
        <v>-436667.52</v>
      </c>
      <c r="D118" s="49">
        <v>0</v>
      </c>
      <c r="E118" s="49">
        <v>0</v>
      </c>
      <c r="F118" s="49">
        <v>0</v>
      </c>
      <c r="G118" s="49">
        <v>0</v>
      </c>
      <c r="H118" s="49">
        <v>0</v>
      </c>
      <c r="I118" s="49">
        <v>0</v>
      </c>
      <c r="J118" s="49">
        <v>0</v>
      </c>
      <c r="K118" s="49">
        <v>0</v>
      </c>
      <c r="L118" s="49">
        <v>0</v>
      </c>
      <c r="M118" s="49">
        <v>0</v>
      </c>
      <c r="N118" s="49">
        <v>0</v>
      </c>
      <c r="O118" s="53">
        <v>582235.78</v>
      </c>
      <c r="P118" s="49">
        <v>0</v>
      </c>
      <c r="Q118" s="53">
        <v>-3200</v>
      </c>
      <c r="R118" s="49">
        <v>0</v>
      </c>
      <c r="S118" s="49">
        <v>0</v>
      </c>
      <c r="T118" s="49">
        <v>0</v>
      </c>
      <c r="U118" s="53">
        <v>36362.63</v>
      </c>
      <c r="V118" s="49">
        <v>0</v>
      </c>
      <c r="W118" s="49">
        <v>0</v>
      </c>
      <c r="X118" s="49">
        <v>0</v>
      </c>
      <c r="Y118" s="49">
        <v>0</v>
      </c>
      <c r="Z118" s="53">
        <v>73162.63</v>
      </c>
    </row>
    <row r="119" customHeight="1" spans="1:26">
      <c r="A119" s="48" t="s">
        <v>285</v>
      </c>
      <c r="B119" s="49">
        <v>0</v>
      </c>
      <c r="C119" s="80">
        <v>0</v>
      </c>
      <c r="D119" s="49">
        <v>0</v>
      </c>
      <c r="E119" s="49">
        <v>0</v>
      </c>
      <c r="F119" s="49">
        <v>0</v>
      </c>
      <c r="G119" s="49">
        <v>0</v>
      </c>
      <c r="H119" s="49">
        <v>0</v>
      </c>
      <c r="I119" s="49">
        <v>0</v>
      </c>
      <c r="J119" s="49">
        <v>0</v>
      </c>
      <c r="K119" s="49">
        <v>0</v>
      </c>
      <c r="L119" s="49">
        <v>0</v>
      </c>
      <c r="M119" s="49">
        <v>0</v>
      </c>
      <c r="N119" s="49">
        <v>0</v>
      </c>
      <c r="O119" s="53">
        <v>47238.24</v>
      </c>
      <c r="P119" s="49">
        <v>0</v>
      </c>
      <c r="Q119" s="49">
        <v>0</v>
      </c>
      <c r="R119" s="49">
        <v>0</v>
      </c>
      <c r="S119" s="49">
        <v>0</v>
      </c>
      <c r="T119" s="49">
        <v>0</v>
      </c>
      <c r="U119" s="53">
        <v>14772.73</v>
      </c>
      <c r="V119" s="49">
        <v>0</v>
      </c>
      <c r="W119" s="49">
        <v>0</v>
      </c>
      <c r="X119" s="49">
        <v>0</v>
      </c>
      <c r="Y119" s="49">
        <v>0</v>
      </c>
      <c r="Z119" s="53">
        <v>62010.97</v>
      </c>
    </row>
    <row r="120" customHeight="1" spans="1:26">
      <c r="A120" s="48" t="s">
        <v>286</v>
      </c>
      <c r="B120" s="53">
        <v>2422.94</v>
      </c>
      <c r="C120" s="81">
        <v>-2422.94</v>
      </c>
      <c r="D120" s="49">
        <v>0</v>
      </c>
      <c r="E120" s="49">
        <v>0</v>
      </c>
      <c r="F120" s="49">
        <v>0</v>
      </c>
      <c r="G120" s="49">
        <v>0</v>
      </c>
      <c r="H120" s="49">
        <v>0</v>
      </c>
      <c r="I120" s="49">
        <v>0</v>
      </c>
      <c r="J120" s="49">
        <v>0</v>
      </c>
      <c r="K120" s="49">
        <v>0</v>
      </c>
      <c r="L120" s="49">
        <v>0</v>
      </c>
      <c r="M120" s="49">
        <v>0</v>
      </c>
      <c r="N120" s="49">
        <v>0</v>
      </c>
      <c r="O120" s="49">
        <v>0</v>
      </c>
      <c r="P120" s="49">
        <v>0</v>
      </c>
      <c r="Q120" s="49">
        <v>0</v>
      </c>
      <c r="R120" s="49">
        <v>0</v>
      </c>
      <c r="S120" s="49">
        <v>0</v>
      </c>
      <c r="T120" s="49">
        <v>0</v>
      </c>
      <c r="U120" s="49">
        <v>0</v>
      </c>
      <c r="V120" s="49">
        <v>0</v>
      </c>
      <c r="W120" s="49">
        <v>0</v>
      </c>
      <c r="X120" s="49">
        <v>0</v>
      </c>
      <c r="Y120" s="49">
        <v>0</v>
      </c>
      <c r="Z120" s="49">
        <v>0</v>
      </c>
    </row>
    <row r="121" customHeight="1" spans="1:26">
      <c r="A121" s="48" t="s">
        <v>287</v>
      </c>
      <c r="B121" s="53">
        <v>-2065</v>
      </c>
      <c r="C121" s="81">
        <v>50715</v>
      </c>
      <c r="D121" s="49">
        <v>0</v>
      </c>
      <c r="E121" s="49">
        <v>0</v>
      </c>
      <c r="F121" s="49">
        <v>0</v>
      </c>
      <c r="G121" s="49">
        <v>0</v>
      </c>
      <c r="H121" s="53">
        <v>1600</v>
      </c>
      <c r="I121" s="53">
        <v>1850</v>
      </c>
      <c r="J121" s="53">
        <v>8125</v>
      </c>
      <c r="K121" s="53">
        <v>-4880</v>
      </c>
      <c r="L121" s="53">
        <v>-7252.5</v>
      </c>
      <c r="M121" s="53">
        <v>-1930</v>
      </c>
      <c r="N121" s="53">
        <v>-1150</v>
      </c>
      <c r="O121" s="53">
        <v>33516.5</v>
      </c>
      <c r="P121" s="49">
        <v>-800</v>
      </c>
      <c r="Q121" s="49">
        <v>0</v>
      </c>
      <c r="R121" s="49">
        <v>0</v>
      </c>
      <c r="S121" s="49">
        <v>-290</v>
      </c>
      <c r="T121" s="49">
        <v>925</v>
      </c>
      <c r="U121" s="53">
        <v>4650</v>
      </c>
      <c r="V121" s="53">
        <v>3550</v>
      </c>
      <c r="W121" s="53">
        <v>19350</v>
      </c>
      <c r="X121" s="53">
        <v>-6436.36</v>
      </c>
      <c r="Y121" s="49">
        <v>0</v>
      </c>
      <c r="Z121" s="53">
        <v>99477.64</v>
      </c>
    </row>
    <row r="122" customHeight="1" spans="1:26">
      <c r="A122" s="48" t="s">
        <v>288</v>
      </c>
      <c r="B122" s="53">
        <v>3408.61</v>
      </c>
      <c r="C122" s="80">
        <v>-475</v>
      </c>
      <c r="D122" s="49">
        <v>0</v>
      </c>
      <c r="E122" s="49">
        <v>0</v>
      </c>
      <c r="F122" s="49">
        <v>0</v>
      </c>
      <c r="G122" s="49">
        <v>0</v>
      </c>
      <c r="H122" s="49">
        <v>0</v>
      </c>
      <c r="I122" s="49">
        <v>0</v>
      </c>
      <c r="J122" s="49">
        <v>0</v>
      </c>
      <c r="K122" s="53">
        <v>5995</v>
      </c>
      <c r="L122" s="53">
        <v>-5995</v>
      </c>
      <c r="M122" s="49">
        <v>0</v>
      </c>
      <c r="N122" s="53">
        <v>1950</v>
      </c>
      <c r="O122" s="53">
        <v>-4883.61</v>
      </c>
      <c r="P122" s="49">
        <v>0</v>
      </c>
      <c r="Q122" s="49">
        <v>0</v>
      </c>
      <c r="R122" s="49">
        <v>0</v>
      </c>
      <c r="S122" s="49">
        <v>0</v>
      </c>
      <c r="T122" s="49">
        <v>0</v>
      </c>
      <c r="U122" s="49">
        <v>0</v>
      </c>
      <c r="V122" s="49">
        <v>0</v>
      </c>
      <c r="W122" s="53">
        <v>1375</v>
      </c>
      <c r="X122" s="49">
        <v>0</v>
      </c>
      <c r="Y122" s="49">
        <v>0</v>
      </c>
      <c r="Z122" s="53">
        <v>1375</v>
      </c>
    </row>
    <row r="123" customHeight="1" spans="1:26">
      <c r="A123" s="48" t="s">
        <v>224</v>
      </c>
      <c r="B123" s="53">
        <v>-23417.82</v>
      </c>
      <c r="C123" s="80">
        <v>-187</v>
      </c>
      <c r="D123" s="49">
        <v>0</v>
      </c>
      <c r="E123" s="49">
        <v>0</v>
      </c>
      <c r="F123" s="49">
        <v>0</v>
      </c>
      <c r="G123" s="49">
        <v>0</v>
      </c>
      <c r="H123" s="49">
        <v>0</v>
      </c>
      <c r="I123" s="49">
        <v>0</v>
      </c>
      <c r="J123" s="49">
        <v>0</v>
      </c>
      <c r="K123" s="49">
        <v>0</v>
      </c>
      <c r="L123" s="49">
        <v>0</v>
      </c>
      <c r="M123" s="49">
        <v>0</v>
      </c>
      <c r="N123" s="49">
        <v>0</v>
      </c>
      <c r="O123" s="53">
        <v>23604.82</v>
      </c>
      <c r="P123" s="49">
        <v>0</v>
      </c>
      <c r="Q123" s="49">
        <v>0</v>
      </c>
      <c r="R123" s="49">
        <v>0</v>
      </c>
      <c r="S123" s="49">
        <v>0</v>
      </c>
      <c r="T123" s="49">
        <v>0</v>
      </c>
      <c r="U123" s="49">
        <v>0</v>
      </c>
      <c r="V123" s="49">
        <v>0</v>
      </c>
      <c r="W123" s="49">
        <v>0</v>
      </c>
      <c r="X123" s="49">
        <v>0</v>
      </c>
      <c r="Y123" s="49">
        <v>0</v>
      </c>
      <c r="Z123" s="49">
        <v>0</v>
      </c>
    </row>
    <row r="124" customHeight="1" spans="1:26">
      <c r="A124" s="48" t="s">
        <v>289</v>
      </c>
      <c r="B124" s="53">
        <v>-6300</v>
      </c>
      <c r="C124" s="81">
        <v>-5100</v>
      </c>
      <c r="D124" s="53">
        <v>-1000</v>
      </c>
      <c r="E124" s="49">
        <v>0</v>
      </c>
      <c r="F124" s="49">
        <v>-400</v>
      </c>
      <c r="G124" s="49">
        <v>0</v>
      </c>
      <c r="H124" s="53">
        <v>-3803.34</v>
      </c>
      <c r="I124" s="49">
        <v>0</v>
      </c>
      <c r="J124" s="49">
        <v>0</v>
      </c>
      <c r="K124" s="49">
        <v>-4.09</v>
      </c>
      <c r="L124" s="49">
        <v>0</v>
      </c>
      <c r="M124" s="49">
        <v>0</v>
      </c>
      <c r="N124" s="49">
        <v>-179.87</v>
      </c>
      <c r="O124" s="53">
        <v>16787.3</v>
      </c>
      <c r="P124" s="49">
        <v>0</v>
      </c>
      <c r="Q124" s="49">
        <v>0</v>
      </c>
      <c r="R124" s="49">
        <v>0</v>
      </c>
      <c r="S124" s="53">
        <v>-1519.88</v>
      </c>
      <c r="T124" s="49">
        <v>0</v>
      </c>
      <c r="U124" s="49">
        <v>0</v>
      </c>
      <c r="V124" s="49">
        <v>0</v>
      </c>
      <c r="W124" s="49">
        <v>0</v>
      </c>
      <c r="X124" s="49">
        <v>0</v>
      </c>
      <c r="Y124" s="49">
        <v>-147.78</v>
      </c>
      <c r="Z124" s="53">
        <v>-1667.66</v>
      </c>
    </row>
    <row r="125" customHeight="1" spans="1:26">
      <c r="A125" s="48" t="s">
        <v>290</v>
      </c>
      <c r="B125" s="53">
        <v>3847495.35</v>
      </c>
      <c r="C125" s="81">
        <v>111978.81</v>
      </c>
      <c r="D125" s="53">
        <v>-18070.49</v>
      </c>
      <c r="E125" s="53">
        <v>-18070.49</v>
      </c>
      <c r="F125" s="53">
        <v>-18070.49</v>
      </c>
      <c r="G125" s="53">
        <v>-36353.77</v>
      </c>
      <c r="H125" s="53">
        <v>-18070.49</v>
      </c>
      <c r="I125" s="53">
        <v>-18070.49</v>
      </c>
      <c r="J125" s="49">
        <v>212.79</v>
      </c>
      <c r="K125" s="53">
        <v>-18070.49</v>
      </c>
      <c r="L125" s="53">
        <v>-18070.49</v>
      </c>
      <c r="M125" s="53">
        <v>-18070.49</v>
      </c>
      <c r="N125" s="53">
        <v>-18070.49</v>
      </c>
      <c r="O125" s="53">
        <v>111596.3</v>
      </c>
      <c r="P125" s="53">
        <v>-18070.49</v>
      </c>
      <c r="Q125" s="49">
        <v>0</v>
      </c>
      <c r="R125" s="49">
        <v>0</v>
      </c>
      <c r="S125" s="49">
        <v>0</v>
      </c>
      <c r="T125" s="49">
        <v>0</v>
      </c>
      <c r="U125" s="49">
        <v>0</v>
      </c>
      <c r="V125" s="49">
        <v>0</v>
      </c>
      <c r="W125" s="49">
        <v>0</v>
      </c>
      <c r="X125" s="49">
        <v>0</v>
      </c>
      <c r="Y125" s="49">
        <v>0</v>
      </c>
      <c r="Z125" s="53">
        <v>3854224.58</v>
      </c>
    </row>
    <row r="126" customHeight="1" spans="1:26">
      <c r="A126" s="48" t="s">
        <v>291</v>
      </c>
      <c r="B126" s="54">
        <v>1218028.39</v>
      </c>
      <c r="C126" s="79">
        <v>-408850.52</v>
      </c>
      <c r="D126" s="82">
        <v>-18993.63</v>
      </c>
      <c r="E126" s="54">
        <v>-18101.47</v>
      </c>
      <c r="F126" s="54">
        <v>-18241.06</v>
      </c>
      <c r="G126" s="54">
        <v>-41687.92</v>
      </c>
      <c r="H126" s="54">
        <v>-16626.92</v>
      </c>
      <c r="I126" s="54">
        <v>-19704.95</v>
      </c>
      <c r="J126" s="54">
        <v>8337.79</v>
      </c>
      <c r="K126" s="54">
        <v>-16939.49</v>
      </c>
      <c r="L126" s="54">
        <v>-29578.57</v>
      </c>
      <c r="M126" s="54">
        <v>-25523.62</v>
      </c>
      <c r="N126" s="54">
        <v>-11849.96</v>
      </c>
      <c r="O126" s="54">
        <v>903297.98</v>
      </c>
      <c r="P126" s="54">
        <v>-15740.28</v>
      </c>
      <c r="Q126" s="57">
        <v>-534.46</v>
      </c>
      <c r="R126" s="54">
        <v>-6864.54</v>
      </c>
      <c r="S126" s="54">
        <v>-3372.64</v>
      </c>
      <c r="T126" s="57">
        <v>227.19</v>
      </c>
      <c r="U126" s="54">
        <v>57972.91</v>
      </c>
      <c r="V126" s="54">
        <v>3541.16</v>
      </c>
      <c r="W126" s="54">
        <v>21520</v>
      </c>
      <c r="X126" s="54">
        <v>-7502.42</v>
      </c>
      <c r="Y126" s="54">
        <v>-1620.35</v>
      </c>
      <c r="Z126" s="54">
        <v>1551192.62</v>
      </c>
    </row>
    <row r="127" customHeight="1" spans="1:26">
      <c r="A127" s="48"/>
      <c r="B127" s="53"/>
      <c r="C127" s="53"/>
      <c r="D127" s="83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53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53"/>
    </row>
    <row r="128" customHeight="1" spans="1:26">
      <c r="A128" s="68" t="s">
        <v>292</v>
      </c>
      <c r="B128" s="53">
        <v>163605.35</v>
      </c>
      <c r="C128" s="53">
        <v>-30000</v>
      </c>
      <c r="D128" s="83">
        <v>0</v>
      </c>
      <c r="E128" s="49">
        <v>0</v>
      </c>
      <c r="F128" s="49">
        <v>0</v>
      </c>
      <c r="G128" s="49">
        <v>0</v>
      </c>
      <c r="H128" s="49">
        <v>0</v>
      </c>
      <c r="I128" s="49">
        <v>0</v>
      </c>
      <c r="J128" s="49">
        <v>0</v>
      </c>
      <c r="K128" s="49">
        <v>0</v>
      </c>
      <c r="L128" s="49">
        <v>0</v>
      </c>
      <c r="M128" s="49">
        <v>0</v>
      </c>
      <c r="N128" s="49">
        <v>0</v>
      </c>
      <c r="O128" s="53">
        <v>-3464.73</v>
      </c>
      <c r="P128" s="49">
        <v>0</v>
      </c>
      <c r="Q128" s="49">
        <v>0</v>
      </c>
      <c r="R128" s="49">
        <v>0</v>
      </c>
      <c r="S128" s="49">
        <v>0</v>
      </c>
      <c r="T128" s="49">
        <v>0</v>
      </c>
      <c r="U128" s="49">
        <v>0</v>
      </c>
      <c r="V128" s="49">
        <v>0</v>
      </c>
      <c r="W128" s="49">
        <v>0</v>
      </c>
      <c r="X128" s="49">
        <v>0</v>
      </c>
      <c r="Y128" s="49">
        <v>0</v>
      </c>
      <c r="Z128" s="53">
        <v>130140.62</v>
      </c>
    </row>
    <row r="129" customHeight="1" spans="1:26">
      <c r="A129" s="68" t="s">
        <v>293</v>
      </c>
      <c r="B129" s="53">
        <v>100000</v>
      </c>
      <c r="C129" s="53">
        <v>-20000</v>
      </c>
      <c r="D129" s="83">
        <v>0</v>
      </c>
      <c r="E129" s="49">
        <v>0</v>
      </c>
      <c r="F129" s="49">
        <v>0</v>
      </c>
      <c r="G129" s="49">
        <v>0</v>
      </c>
      <c r="H129" s="49">
        <v>0</v>
      </c>
      <c r="I129" s="49">
        <v>0</v>
      </c>
      <c r="J129" s="49">
        <v>0</v>
      </c>
      <c r="K129" s="49">
        <v>0</v>
      </c>
      <c r="L129" s="49">
        <v>0</v>
      </c>
      <c r="M129" s="49">
        <v>0</v>
      </c>
      <c r="N129" s="49">
        <v>0</v>
      </c>
      <c r="O129" s="49">
        <v>-454.55</v>
      </c>
      <c r="P129" s="49">
        <v>0</v>
      </c>
      <c r="Q129" s="49">
        <v>0</v>
      </c>
      <c r="R129" s="49">
        <v>0</v>
      </c>
      <c r="S129" s="49">
        <v>0</v>
      </c>
      <c r="T129" s="49">
        <v>0</v>
      </c>
      <c r="U129" s="49">
        <v>0</v>
      </c>
      <c r="V129" s="49">
        <v>0</v>
      </c>
      <c r="W129" s="49">
        <v>0</v>
      </c>
      <c r="X129" s="49">
        <v>0</v>
      </c>
      <c r="Y129" s="49">
        <v>0</v>
      </c>
      <c r="Z129" s="53">
        <v>79545.45</v>
      </c>
    </row>
    <row r="130" customHeight="1" spans="1:26">
      <c r="A130" s="68" t="s">
        <v>294</v>
      </c>
      <c r="B130" s="53">
        <v>149600</v>
      </c>
      <c r="C130" s="53">
        <v>-10000</v>
      </c>
      <c r="D130" s="83">
        <v>0</v>
      </c>
      <c r="E130" s="49">
        <v>0</v>
      </c>
      <c r="F130" s="49">
        <v>0</v>
      </c>
      <c r="G130" s="49">
        <v>0</v>
      </c>
      <c r="H130" s="49">
        <v>0</v>
      </c>
      <c r="I130" s="49">
        <v>0</v>
      </c>
      <c r="J130" s="49">
        <v>0</v>
      </c>
      <c r="K130" s="49">
        <v>0</v>
      </c>
      <c r="L130" s="49">
        <v>0</v>
      </c>
      <c r="M130" s="49">
        <v>0</v>
      </c>
      <c r="N130" s="49">
        <v>0</v>
      </c>
      <c r="O130" s="53">
        <v>51583.24</v>
      </c>
      <c r="P130" s="49">
        <v>0</v>
      </c>
      <c r="Q130" s="49">
        <v>0</v>
      </c>
      <c r="R130" s="49">
        <v>0</v>
      </c>
      <c r="S130" s="49">
        <v>0</v>
      </c>
      <c r="T130" s="49">
        <v>0</v>
      </c>
      <c r="U130" s="49">
        <v>0</v>
      </c>
      <c r="V130" s="49">
        <v>0</v>
      </c>
      <c r="W130" s="49">
        <v>0</v>
      </c>
      <c r="X130" s="49">
        <v>0</v>
      </c>
      <c r="Y130" s="49">
        <v>0</v>
      </c>
      <c r="Z130" s="53">
        <v>191183.24</v>
      </c>
    </row>
    <row r="131" customHeight="1" spans="1:26">
      <c r="A131" s="68" t="s">
        <v>295</v>
      </c>
      <c r="B131" s="53">
        <v>10000</v>
      </c>
      <c r="C131" s="53">
        <v>66000</v>
      </c>
      <c r="D131" s="83">
        <v>0</v>
      </c>
      <c r="E131" s="49">
        <v>0</v>
      </c>
      <c r="F131" s="49">
        <v>0</v>
      </c>
      <c r="G131" s="49">
        <v>0</v>
      </c>
      <c r="H131" s="49">
        <v>0</v>
      </c>
      <c r="I131" s="49">
        <v>0</v>
      </c>
      <c r="J131" s="49">
        <v>0</v>
      </c>
      <c r="K131" s="49">
        <v>0</v>
      </c>
      <c r="L131" s="49">
        <v>0</v>
      </c>
      <c r="M131" s="49">
        <v>0</v>
      </c>
      <c r="N131" s="49">
        <v>0</v>
      </c>
      <c r="O131" s="53">
        <v>6795.45</v>
      </c>
      <c r="P131" s="49">
        <v>0</v>
      </c>
      <c r="Q131" s="49">
        <v>0</v>
      </c>
      <c r="R131" s="49">
        <v>0</v>
      </c>
      <c r="S131" s="49">
        <v>0</v>
      </c>
      <c r="T131" s="49">
        <v>0</v>
      </c>
      <c r="U131" s="49">
        <v>0</v>
      </c>
      <c r="V131" s="49">
        <v>0</v>
      </c>
      <c r="W131" s="49">
        <v>0</v>
      </c>
      <c r="X131" s="49">
        <v>0</v>
      </c>
      <c r="Y131" s="49">
        <v>0</v>
      </c>
      <c r="Z131" s="53">
        <v>82795.45</v>
      </c>
    </row>
    <row r="132" customHeight="1" spans="1:26">
      <c r="A132" s="68" t="s">
        <v>296</v>
      </c>
      <c r="B132" s="53">
        <v>14000</v>
      </c>
      <c r="C132" s="53">
        <v>-2500</v>
      </c>
      <c r="D132" s="83">
        <v>0</v>
      </c>
      <c r="E132" s="49">
        <v>0</v>
      </c>
      <c r="F132" s="49">
        <v>0</v>
      </c>
      <c r="G132" s="49">
        <v>0</v>
      </c>
      <c r="H132" s="49">
        <v>0</v>
      </c>
      <c r="I132" s="49">
        <v>0</v>
      </c>
      <c r="J132" s="49">
        <v>0</v>
      </c>
      <c r="K132" s="49">
        <v>0</v>
      </c>
      <c r="L132" s="49">
        <v>0</v>
      </c>
      <c r="M132" s="49">
        <v>0</v>
      </c>
      <c r="N132" s="49">
        <v>0</v>
      </c>
      <c r="O132" s="49">
        <v>-363.64</v>
      </c>
      <c r="P132" s="49">
        <v>0</v>
      </c>
      <c r="Q132" s="49">
        <v>0</v>
      </c>
      <c r="R132" s="49">
        <v>0</v>
      </c>
      <c r="S132" s="49">
        <v>0</v>
      </c>
      <c r="T132" s="49">
        <v>0</v>
      </c>
      <c r="U132" s="49">
        <v>0</v>
      </c>
      <c r="V132" s="49">
        <v>0</v>
      </c>
      <c r="W132" s="49">
        <v>0</v>
      </c>
      <c r="X132" s="49">
        <v>0</v>
      </c>
      <c r="Y132" s="49">
        <v>0</v>
      </c>
      <c r="Z132" s="53">
        <v>11136.36</v>
      </c>
    </row>
    <row r="133" customHeight="1" spans="1:26">
      <c r="A133" s="68" t="s">
        <v>297</v>
      </c>
      <c r="B133" s="53">
        <v>87000</v>
      </c>
      <c r="C133" s="53">
        <v>-87000</v>
      </c>
      <c r="D133" s="83">
        <v>0</v>
      </c>
      <c r="E133" s="49">
        <v>0</v>
      </c>
      <c r="F133" s="49">
        <v>0</v>
      </c>
      <c r="G133" s="49">
        <v>0</v>
      </c>
      <c r="H133" s="49">
        <v>0</v>
      </c>
      <c r="I133" s="49">
        <v>0</v>
      </c>
      <c r="J133" s="49">
        <v>0</v>
      </c>
      <c r="K133" s="49">
        <v>0</v>
      </c>
      <c r="L133" s="49">
        <v>0</v>
      </c>
      <c r="M133" s="49">
        <v>0</v>
      </c>
      <c r="N133" s="49">
        <v>0</v>
      </c>
      <c r="O133" s="49">
        <v>0</v>
      </c>
      <c r="P133" s="49">
        <v>0</v>
      </c>
      <c r="Q133" s="49">
        <v>0</v>
      </c>
      <c r="R133" s="49">
        <v>0</v>
      </c>
      <c r="S133" s="49">
        <v>0</v>
      </c>
      <c r="T133" s="49">
        <v>0</v>
      </c>
      <c r="U133" s="49">
        <v>0</v>
      </c>
      <c r="V133" s="49">
        <v>0</v>
      </c>
      <c r="W133" s="49">
        <v>0</v>
      </c>
      <c r="X133" s="49">
        <v>0</v>
      </c>
      <c r="Y133" s="49">
        <v>0</v>
      </c>
      <c r="Z133" s="49">
        <v>0</v>
      </c>
    </row>
    <row r="134" customHeight="1" spans="1:26">
      <c r="A134" s="68" t="s">
        <v>298</v>
      </c>
      <c r="B134" s="53">
        <v>100000</v>
      </c>
      <c r="C134" s="53">
        <v>-20000</v>
      </c>
      <c r="D134" s="83">
        <v>0</v>
      </c>
      <c r="E134" s="49">
        <v>0</v>
      </c>
      <c r="F134" s="49">
        <v>0</v>
      </c>
      <c r="G134" s="49">
        <v>0</v>
      </c>
      <c r="H134" s="49">
        <v>0</v>
      </c>
      <c r="I134" s="49">
        <v>0</v>
      </c>
      <c r="J134" s="49">
        <v>0</v>
      </c>
      <c r="K134" s="49">
        <v>0</v>
      </c>
      <c r="L134" s="49">
        <v>0</v>
      </c>
      <c r="M134" s="49">
        <v>0</v>
      </c>
      <c r="N134" s="49">
        <v>0</v>
      </c>
      <c r="O134" s="49">
        <v>-454.55</v>
      </c>
      <c r="P134" s="49">
        <v>0</v>
      </c>
      <c r="Q134" s="49">
        <v>0</v>
      </c>
      <c r="R134" s="49">
        <v>0</v>
      </c>
      <c r="S134" s="49">
        <v>0</v>
      </c>
      <c r="T134" s="49">
        <v>0</v>
      </c>
      <c r="U134" s="49">
        <v>0</v>
      </c>
      <c r="V134" s="49">
        <v>0</v>
      </c>
      <c r="W134" s="49">
        <v>0</v>
      </c>
      <c r="X134" s="49">
        <v>0</v>
      </c>
      <c r="Y134" s="49">
        <v>0</v>
      </c>
      <c r="Z134" s="53">
        <v>79545.45</v>
      </c>
    </row>
    <row r="135" customHeight="1" spans="1:26">
      <c r="A135" s="68" t="s">
        <v>299</v>
      </c>
      <c r="B135" s="53">
        <v>15000</v>
      </c>
      <c r="C135" s="53">
        <v>-3000</v>
      </c>
      <c r="D135" s="83">
        <v>0</v>
      </c>
      <c r="E135" s="49">
        <v>0</v>
      </c>
      <c r="F135" s="49">
        <v>0</v>
      </c>
      <c r="G135" s="49">
        <v>0</v>
      </c>
      <c r="H135" s="49">
        <v>0</v>
      </c>
      <c r="I135" s="49">
        <v>0</v>
      </c>
      <c r="J135" s="49">
        <v>0</v>
      </c>
      <c r="K135" s="49">
        <v>0</v>
      </c>
      <c r="L135" s="49">
        <v>0</v>
      </c>
      <c r="M135" s="49">
        <v>0</v>
      </c>
      <c r="N135" s="49">
        <v>0</v>
      </c>
      <c r="O135" s="49">
        <v>-68.18</v>
      </c>
      <c r="P135" s="49">
        <v>0</v>
      </c>
      <c r="Q135" s="49">
        <v>0</v>
      </c>
      <c r="R135" s="49">
        <v>0</v>
      </c>
      <c r="S135" s="49">
        <v>0</v>
      </c>
      <c r="T135" s="49">
        <v>0</v>
      </c>
      <c r="U135" s="49">
        <v>0</v>
      </c>
      <c r="V135" s="49">
        <v>0</v>
      </c>
      <c r="W135" s="49">
        <v>0</v>
      </c>
      <c r="X135" s="49">
        <v>0</v>
      </c>
      <c r="Y135" s="49">
        <v>0</v>
      </c>
      <c r="Z135" s="53">
        <v>11931.82</v>
      </c>
    </row>
    <row r="136" customHeight="1" spans="1:26">
      <c r="A136" s="68" t="s">
        <v>300</v>
      </c>
      <c r="B136" s="53">
        <v>70000</v>
      </c>
      <c r="C136" s="53">
        <v>-14000</v>
      </c>
      <c r="D136" s="83">
        <v>0</v>
      </c>
      <c r="E136" s="49">
        <v>0</v>
      </c>
      <c r="F136" s="49">
        <v>0</v>
      </c>
      <c r="G136" s="49">
        <v>0</v>
      </c>
      <c r="H136" s="49">
        <v>0</v>
      </c>
      <c r="I136" s="49">
        <v>0</v>
      </c>
      <c r="J136" s="49">
        <v>0</v>
      </c>
      <c r="K136" s="49">
        <v>0</v>
      </c>
      <c r="L136" s="49">
        <v>0</v>
      </c>
      <c r="M136" s="49">
        <v>0</v>
      </c>
      <c r="N136" s="49">
        <v>0</v>
      </c>
      <c r="O136" s="49">
        <v>-318.18</v>
      </c>
      <c r="P136" s="49">
        <v>0</v>
      </c>
      <c r="Q136" s="49">
        <v>0</v>
      </c>
      <c r="R136" s="49">
        <v>0</v>
      </c>
      <c r="S136" s="49">
        <v>0</v>
      </c>
      <c r="T136" s="49">
        <v>0</v>
      </c>
      <c r="U136" s="49">
        <v>0</v>
      </c>
      <c r="V136" s="49">
        <v>0</v>
      </c>
      <c r="W136" s="49">
        <v>0</v>
      </c>
      <c r="X136" s="49">
        <v>0</v>
      </c>
      <c r="Y136" s="49">
        <v>0</v>
      </c>
      <c r="Z136" s="53">
        <v>55681.82</v>
      </c>
    </row>
    <row r="137" customHeight="1" spans="1:26">
      <c r="A137" s="68" t="s">
        <v>301</v>
      </c>
      <c r="B137" s="53">
        <v>10000</v>
      </c>
      <c r="C137" s="49">
        <v>0</v>
      </c>
      <c r="D137" s="83">
        <v>0</v>
      </c>
      <c r="E137" s="49">
        <v>0</v>
      </c>
      <c r="F137" s="49">
        <v>0</v>
      </c>
      <c r="G137" s="49">
        <v>0</v>
      </c>
      <c r="H137" s="49">
        <v>0</v>
      </c>
      <c r="I137" s="49">
        <v>0</v>
      </c>
      <c r="J137" s="49">
        <v>0</v>
      </c>
      <c r="K137" s="49">
        <v>0</v>
      </c>
      <c r="L137" s="49">
        <v>0</v>
      </c>
      <c r="M137" s="49">
        <v>0</v>
      </c>
      <c r="N137" s="49">
        <v>0</v>
      </c>
      <c r="O137" s="53">
        <v>5909.09</v>
      </c>
      <c r="P137" s="49">
        <v>0</v>
      </c>
      <c r="Q137" s="49">
        <v>0</v>
      </c>
      <c r="R137" s="49">
        <v>0</v>
      </c>
      <c r="S137" s="49">
        <v>0</v>
      </c>
      <c r="T137" s="49">
        <v>0</v>
      </c>
      <c r="U137" s="49">
        <v>0</v>
      </c>
      <c r="V137" s="49">
        <v>0</v>
      </c>
      <c r="W137" s="49">
        <v>0</v>
      </c>
      <c r="X137" s="49">
        <v>0</v>
      </c>
      <c r="Y137" s="49">
        <v>0</v>
      </c>
      <c r="Z137" s="53">
        <v>15909.09</v>
      </c>
    </row>
    <row r="138" customHeight="1" spans="1:26">
      <c r="A138" s="68" t="s">
        <v>302</v>
      </c>
      <c r="B138" s="53">
        <v>166666.67</v>
      </c>
      <c r="C138" s="53">
        <v>-30000</v>
      </c>
      <c r="D138" s="83">
        <v>0</v>
      </c>
      <c r="E138" s="49">
        <v>0</v>
      </c>
      <c r="F138" s="49">
        <v>0</v>
      </c>
      <c r="G138" s="49">
        <v>0</v>
      </c>
      <c r="H138" s="49">
        <v>0</v>
      </c>
      <c r="I138" s="49">
        <v>0</v>
      </c>
      <c r="J138" s="49">
        <v>0</v>
      </c>
      <c r="K138" s="49">
        <v>0</v>
      </c>
      <c r="L138" s="49">
        <v>0</v>
      </c>
      <c r="M138" s="49">
        <v>0</v>
      </c>
      <c r="N138" s="49">
        <v>0</v>
      </c>
      <c r="O138" s="53">
        <v>-4090.91</v>
      </c>
      <c r="P138" s="49">
        <v>0</v>
      </c>
      <c r="Q138" s="49">
        <v>0</v>
      </c>
      <c r="R138" s="49">
        <v>0</v>
      </c>
      <c r="S138" s="49">
        <v>0</v>
      </c>
      <c r="T138" s="49">
        <v>0</v>
      </c>
      <c r="U138" s="49">
        <v>0</v>
      </c>
      <c r="V138" s="49">
        <v>0</v>
      </c>
      <c r="W138" s="49">
        <v>0</v>
      </c>
      <c r="X138" s="49">
        <v>0</v>
      </c>
      <c r="Y138" s="49">
        <v>0</v>
      </c>
      <c r="Z138" s="53">
        <v>132575.76</v>
      </c>
    </row>
    <row r="139" customHeight="1" spans="1:26">
      <c r="A139" s="68" t="s">
        <v>303</v>
      </c>
      <c r="B139" s="53">
        <v>166666.67</v>
      </c>
      <c r="C139" s="53">
        <v>-30000</v>
      </c>
      <c r="D139" s="83">
        <v>0</v>
      </c>
      <c r="E139" s="49">
        <v>0</v>
      </c>
      <c r="F139" s="49">
        <v>0</v>
      </c>
      <c r="G139" s="49">
        <v>0</v>
      </c>
      <c r="H139" s="49">
        <v>0</v>
      </c>
      <c r="I139" s="49">
        <v>0</v>
      </c>
      <c r="J139" s="49">
        <v>0</v>
      </c>
      <c r="K139" s="49">
        <v>0</v>
      </c>
      <c r="L139" s="49">
        <v>0</v>
      </c>
      <c r="M139" s="49">
        <v>0</v>
      </c>
      <c r="N139" s="49">
        <v>0</v>
      </c>
      <c r="O139" s="53">
        <v>-4090.91</v>
      </c>
      <c r="P139" s="49">
        <v>0</v>
      </c>
      <c r="Q139" s="49">
        <v>0</v>
      </c>
      <c r="R139" s="49">
        <v>0</v>
      </c>
      <c r="S139" s="49">
        <v>0</v>
      </c>
      <c r="T139" s="49">
        <v>0</v>
      </c>
      <c r="U139" s="49">
        <v>0</v>
      </c>
      <c r="V139" s="49">
        <v>0</v>
      </c>
      <c r="W139" s="49">
        <v>0</v>
      </c>
      <c r="X139" s="49">
        <v>0</v>
      </c>
      <c r="Y139" s="49">
        <v>0</v>
      </c>
      <c r="Z139" s="53">
        <v>132575.76</v>
      </c>
    </row>
    <row r="140" customHeight="1" spans="1:26">
      <c r="A140" s="68" t="s">
        <v>304</v>
      </c>
      <c r="B140" s="53">
        <v>166666.66</v>
      </c>
      <c r="C140" s="53">
        <v>-30000</v>
      </c>
      <c r="D140" s="83">
        <v>0</v>
      </c>
      <c r="E140" s="49">
        <v>0</v>
      </c>
      <c r="F140" s="49">
        <v>0</v>
      </c>
      <c r="G140" s="49">
        <v>0</v>
      </c>
      <c r="H140" s="49">
        <v>0</v>
      </c>
      <c r="I140" s="49">
        <v>0</v>
      </c>
      <c r="J140" s="49">
        <v>0</v>
      </c>
      <c r="K140" s="49">
        <v>0</v>
      </c>
      <c r="L140" s="49">
        <v>0</v>
      </c>
      <c r="M140" s="49">
        <v>0</v>
      </c>
      <c r="N140" s="49">
        <v>0</v>
      </c>
      <c r="O140" s="53">
        <v>-4090.91</v>
      </c>
      <c r="P140" s="49">
        <v>0</v>
      </c>
      <c r="Q140" s="49">
        <v>0</v>
      </c>
      <c r="R140" s="49">
        <v>0</v>
      </c>
      <c r="S140" s="49">
        <v>0</v>
      </c>
      <c r="T140" s="49">
        <v>0</v>
      </c>
      <c r="U140" s="49">
        <v>0</v>
      </c>
      <c r="V140" s="49">
        <v>0</v>
      </c>
      <c r="W140" s="49">
        <v>0</v>
      </c>
      <c r="X140" s="49">
        <v>0</v>
      </c>
      <c r="Y140" s="49">
        <v>0</v>
      </c>
      <c r="Z140" s="53">
        <v>132575.75</v>
      </c>
    </row>
    <row r="141" customHeight="1" spans="1:26">
      <c r="A141" s="68" t="s">
        <v>305</v>
      </c>
      <c r="B141" s="53">
        <v>50000</v>
      </c>
      <c r="C141" s="53">
        <v>-10000</v>
      </c>
      <c r="D141" s="83">
        <v>0</v>
      </c>
      <c r="E141" s="49">
        <v>0</v>
      </c>
      <c r="F141" s="49">
        <v>0</v>
      </c>
      <c r="G141" s="49">
        <v>0</v>
      </c>
      <c r="H141" s="49">
        <v>0</v>
      </c>
      <c r="I141" s="49">
        <v>0</v>
      </c>
      <c r="J141" s="49">
        <v>0</v>
      </c>
      <c r="K141" s="49">
        <v>0</v>
      </c>
      <c r="L141" s="49">
        <v>0</v>
      </c>
      <c r="M141" s="49">
        <v>0</v>
      </c>
      <c r="N141" s="49">
        <v>0</v>
      </c>
      <c r="O141" s="49">
        <v>-227.27</v>
      </c>
      <c r="P141" s="49">
        <v>0</v>
      </c>
      <c r="Q141" s="49">
        <v>0</v>
      </c>
      <c r="R141" s="49">
        <v>0</v>
      </c>
      <c r="S141" s="49">
        <v>0</v>
      </c>
      <c r="T141" s="49">
        <v>0</v>
      </c>
      <c r="U141" s="49">
        <v>0</v>
      </c>
      <c r="V141" s="49">
        <v>0</v>
      </c>
      <c r="W141" s="49">
        <v>0</v>
      </c>
      <c r="X141" s="49">
        <v>0</v>
      </c>
      <c r="Y141" s="49">
        <v>0</v>
      </c>
      <c r="Z141" s="53">
        <v>39772.73</v>
      </c>
    </row>
    <row r="142" customHeight="1" spans="1:26">
      <c r="A142" s="68" t="s">
        <v>306</v>
      </c>
      <c r="B142" s="53">
        <v>50000</v>
      </c>
      <c r="C142" s="53">
        <v>-10000</v>
      </c>
      <c r="D142" s="83">
        <v>0</v>
      </c>
      <c r="E142" s="49">
        <v>0</v>
      </c>
      <c r="F142" s="49">
        <v>0</v>
      </c>
      <c r="G142" s="49">
        <v>0</v>
      </c>
      <c r="H142" s="49">
        <v>0</v>
      </c>
      <c r="I142" s="49">
        <v>0</v>
      </c>
      <c r="J142" s="49">
        <v>0</v>
      </c>
      <c r="K142" s="49">
        <v>0</v>
      </c>
      <c r="L142" s="49">
        <v>0</v>
      </c>
      <c r="M142" s="49">
        <v>0</v>
      </c>
      <c r="N142" s="49">
        <v>0</v>
      </c>
      <c r="O142" s="53">
        <v>-20334.59</v>
      </c>
      <c r="P142" s="49">
        <v>0</v>
      </c>
      <c r="Q142" s="49">
        <v>0</v>
      </c>
      <c r="R142" s="49">
        <v>0</v>
      </c>
      <c r="S142" s="49">
        <v>0</v>
      </c>
      <c r="T142" s="49">
        <v>0</v>
      </c>
      <c r="U142" s="53">
        <v>-14772.73</v>
      </c>
      <c r="V142" s="49">
        <v>0</v>
      </c>
      <c r="W142" s="49">
        <v>0</v>
      </c>
      <c r="X142" s="49">
        <v>0</v>
      </c>
      <c r="Y142" s="49">
        <v>0</v>
      </c>
      <c r="Z142" s="53">
        <v>4892.68</v>
      </c>
    </row>
    <row r="143" customHeight="1" spans="1:26">
      <c r="A143" s="68" t="s">
        <v>307</v>
      </c>
      <c r="B143" s="53">
        <v>378211.98</v>
      </c>
      <c r="C143" s="53">
        <v>-24000</v>
      </c>
      <c r="D143" s="83">
        <v>0</v>
      </c>
      <c r="E143" s="49">
        <v>0</v>
      </c>
      <c r="F143" s="49">
        <v>0</v>
      </c>
      <c r="G143" s="49">
        <v>0</v>
      </c>
      <c r="H143" s="49">
        <v>0</v>
      </c>
      <c r="I143" s="49">
        <v>0</v>
      </c>
      <c r="J143" s="49">
        <v>0</v>
      </c>
      <c r="K143" s="49">
        <v>0</v>
      </c>
      <c r="L143" s="49">
        <v>0</v>
      </c>
      <c r="M143" s="49">
        <v>0</v>
      </c>
      <c r="N143" s="49">
        <v>0</v>
      </c>
      <c r="O143" s="53">
        <v>43515.29</v>
      </c>
      <c r="P143" s="49">
        <v>0</v>
      </c>
      <c r="Q143" s="49">
        <v>0</v>
      </c>
      <c r="R143" s="49">
        <v>0</v>
      </c>
      <c r="S143" s="49">
        <v>0</v>
      </c>
      <c r="T143" s="49">
        <v>0</v>
      </c>
      <c r="U143" s="49">
        <v>0</v>
      </c>
      <c r="V143" s="49">
        <v>0</v>
      </c>
      <c r="W143" s="49">
        <v>0</v>
      </c>
      <c r="X143" s="49">
        <v>0</v>
      </c>
      <c r="Y143" s="49">
        <v>0</v>
      </c>
      <c r="Z143" s="53">
        <v>397727.27</v>
      </c>
    </row>
    <row r="144" customHeight="1" spans="1:26">
      <c r="A144" s="68" t="s">
        <v>308</v>
      </c>
      <c r="B144" s="53">
        <v>50000</v>
      </c>
      <c r="C144" s="53">
        <v>-10000</v>
      </c>
      <c r="D144" s="83">
        <v>0</v>
      </c>
      <c r="E144" s="49">
        <v>0</v>
      </c>
      <c r="F144" s="49">
        <v>0</v>
      </c>
      <c r="G144" s="49">
        <v>0</v>
      </c>
      <c r="H144" s="49">
        <v>0</v>
      </c>
      <c r="I144" s="49">
        <v>0</v>
      </c>
      <c r="J144" s="49">
        <v>0</v>
      </c>
      <c r="K144" s="49">
        <v>0</v>
      </c>
      <c r="L144" s="49">
        <v>0</v>
      </c>
      <c r="M144" s="49">
        <v>0</v>
      </c>
      <c r="N144" s="49">
        <v>0</v>
      </c>
      <c r="O144" s="49">
        <v>-227.27</v>
      </c>
      <c r="P144" s="49">
        <v>0</v>
      </c>
      <c r="Q144" s="49">
        <v>0</v>
      </c>
      <c r="R144" s="49">
        <v>0</v>
      </c>
      <c r="S144" s="49">
        <v>0</v>
      </c>
      <c r="T144" s="49">
        <v>0</v>
      </c>
      <c r="U144" s="49">
        <v>0</v>
      </c>
      <c r="V144" s="49">
        <v>0</v>
      </c>
      <c r="W144" s="49">
        <v>0</v>
      </c>
      <c r="X144" s="49">
        <v>0</v>
      </c>
      <c r="Y144" s="49">
        <v>0</v>
      </c>
      <c r="Z144" s="53">
        <v>39772.73</v>
      </c>
    </row>
    <row r="145" customHeight="1" spans="1:26">
      <c r="A145" s="68" t="s">
        <v>309</v>
      </c>
      <c r="B145" s="53">
        <v>50000</v>
      </c>
      <c r="C145" s="53">
        <v>-10000</v>
      </c>
      <c r="D145" s="83">
        <v>0</v>
      </c>
      <c r="E145" s="49">
        <v>0</v>
      </c>
      <c r="F145" s="49">
        <v>0</v>
      </c>
      <c r="G145" s="49">
        <v>0</v>
      </c>
      <c r="H145" s="49">
        <v>0</v>
      </c>
      <c r="I145" s="49">
        <v>0</v>
      </c>
      <c r="J145" s="49">
        <v>0</v>
      </c>
      <c r="K145" s="49">
        <v>0</v>
      </c>
      <c r="L145" s="49">
        <v>0</v>
      </c>
      <c r="M145" s="49">
        <v>0</v>
      </c>
      <c r="N145" s="49">
        <v>0</v>
      </c>
      <c r="O145" s="49">
        <v>-227.27</v>
      </c>
      <c r="P145" s="49">
        <v>0</v>
      </c>
      <c r="Q145" s="49">
        <v>0</v>
      </c>
      <c r="R145" s="49">
        <v>0</v>
      </c>
      <c r="S145" s="49">
        <v>0</v>
      </c>
      <c r="T145" s="49">
        <v>0</v>
      </c>
      <c r="U145" s="49">
        <v>0</v>
      </c>
      <c r="V145" s="49">
        <v>0</v>
      </c>
      <c r="W145" s="49">
        <v>0</v>
      </c>
      <c r="X145" s="49">
        <v>0</v>
      </c>
      <c r="Y145" s="49">
        <v>0</v>
      </c>
      <c r="Z145" s="53">
        <v>39772.73</v>
      </c>
    </row>
    <row r="146" customHeight="1" spans="1:26">
      <c r="A146" s="68" t="s">
        <v>310</v>
      </c>
      <c r="B146" s="53">
        <v>30000</v>
      </c>
      <c r="C146" s="53">
        <v>-14000</v>
      </c>
      <c r="D146" s="83">
        <v>0</v>
      </c>
      <c r="E146" s="49">
        <v>0</v>
      </c>
      <c r="F146" s="49">
        <v>0</v>
      </c>
      <c r="G146" s="49">
        <v>0</v>
      </c>
      <c r="H146" s="49">
        <v>0</v>
      </c>
      <c r="I146" s="49">
        <v>0</v>
      </c>
      <c r="J146" s="49">
        <v>0</v>
      </c>
      <c r="K146" s="49">
        <v>0</v>
      </c>
      <c r="L146" s="49">
        <v>0</v>
      </c>
      <c r="M146" s="49">
        <v>0</v>
      </c>
      <c r="N146" s="49">
        <v>0</v>
      </c>
      <c r="O146" s="53">
        <v>-16000</v>
      </c>
      <c r="P146" s="49">
        <v>0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  <c r="W146" s="49">
        <v>0</v>
      </c>
      <c r="X146" s="49">
        <v>0</v>
      </c>
      <c r="Y146" s="49">
        <v>0</v>
      </c>
      <c r="Z146" s="49">
        <v>0</v>
      </c>
    </row>
    <row r="147" customHeight="1" spans="1:26">
      <c r="A147" s="68" t="s">
        <v>311</v>
      </c>
      <c r="B147" s="49">
        <v>0</v>
      </c>
      <c r="C147" s="53">
        <v>80000</v>
      </c>
      <c r="D147" s="83">
        <v>0</v>
      </c>
      <c r="E147" s="49">
        <v>0</v>
      </c>
      <c r="F147" s="49">
        <v>0</v>
      </c>
      <c r="G147" s="49">
        <v>0</v>
      </c>
      <c r="H147" s="49">
        <v>0</v>
      </c>
      <c r="I147" s="49">
        <v>0</v>
      </c>
      <c r="J147" s="49">
        <v>0</v>
      </c>
      <c r="K147" s="49">
        <v>0</v>
      </c>
      <c r="L147" s="49">
        <v>0</v>
      </c>
      <c r="M147" s="49">
        <v>0</v>
      </c>
      <c r="N147" s="49">
        <v>0</v>
      </c>
      <c r="O147" s="53">
        <v>-16363.63</v>
      </c>
      <c r="P147" s="49">
        <v>0</v>
      </c>
      <c r="Q147" s="49">
        <v>0</v>
      </c>
      <c r="R147" s="49">
        <v>0</v>
      </c>
      <c r="S147" s="49">
        <v>0</v>
      </c>
      <c r="T147" s="49">
        <v>0</v>
      </c>
      <c r="U147" s="49">
        <v>0</v>
      </c>
      <c r="V147" s="49">
        <v>0</v>
      </c>
      <c r="W147" s="49">
        <v>0</v>
      </c>
      <c r="X147" s="49">
        <v>0</v>
      </c>
      <c r="Y147" s="49">
        <v>0</v>
      </c>
      <c r="Z147" s="53">
        <v>63636.37</v>
      </c>
    </row>
    <row r="148" customHeight="1" spans="1:26">
      <c r="A148" s="68" t="s">
        <v>312</v>
      </c>
      <c r="B148" s="53">
        <v>50000</v>
      </c>
      <c r="C148" s="53">
        <v>-10000</v>
      </c>
      <c r="D148" s="83">
        <v>0</v>
      </c>
      <c r="E148" s="49">
        <v>0</v>
      </c>
      <c r="F148" s="49">
        <v>0</v>
      </c>
      <c r="G148" s="49">
        <v>0</v>
      </c>
      <c r="H148" s="49">
        <v>0</v>
      </c>
      <c r="I148" s="49">
        <v>0</v>
      </c>
      <c r="J148" s="49">
        <v>0</v>
      </c>
      <c r="K148" s="49">
        <v>0</v>
      </c>
      <c r="L148" s="49">
        <v>0</v>
      </c>
      <c r="M148" s="49">
        <v>0</v>
      </c>
      <c r="N148" s="49">
        <v>0</v>
      </c>
      <c r="O148" s="49">
        <v>-227.27</v>
      </c>
      <c r="P148" s="49">
        <v>0</v>
      </c>
      <c r="Q148" s="49">
        <v>0</v>
      </c>
      <c r="R148" s="49">
        <v>0</v>
      </c>
      <c r="S148" s="49">
        <v>0</v>
      </c>
      <c r="T148" s="49">
        <v>0</v>
      </c>
      <c r="U148" s="49">
        <v>0</v>
      </c>
      <c r="V148" s="49">
        <v>0</v>
      </c>
      <c r="W148" s="49">
        <v>0</v>
      </c>
      <c r="X148" s="49">
        <v>0</v>
      </c>
      <c r="Y148" s="49">
        <v>0</v>
      </c>
      <c r="Z148" s="53">
        <v>39772.73</v>
      </c>
    </row>
    <row r="149" customHeight="1" spans="1:26">
      <c r="A149" s="68" t="s">
        <v>313</v>
      </c>
      <c r="B149" s="53">
        <v>-457296.46</v>
      </c>
      <c r="C149" s="53">
        <v>457296.46</v>
      </c>
      <c r="D149" s="84">
        <v>-2167.57</v>
      </c>
      <c r="E149" s="53">
        <v>-1354.73</v>
      </c>
      <c r="F149" s="53">
        <v>-12457.66</v>
      </c>
      <c r="G149" s="53">
        <v>-15772.82</v>
      </c>
      <c r="H149" s="53">
        <v>-3914.25</v>
      </c>
      <c r="I149" s="53">
        <v>-17633.28</v>
      </c>
      <c r="J149" s="53">
        <v>-16691.76</v>
      </c>
      <c r="K149" s="53">
        <v>-14664.36</v>
      </c>
      <c r="L149" s="53">
        <v>-1522.87</v>
      </c>
      <c r="M149" s="53">
        <v>-7340.47</v>
      </c>
      <c r="N149" s="49">
        <v>0</v>
      </c>
      <c r="O149" s="53">
        <v>95945.18</v>
      </c>
      <c r="P149" s="53">
        <v>-11625.79</v>
      </c>
      <c r="Q149" s="53">
        <v>-15970.58</v>
      </c>
      <c r="R149" s="49">
        <v>0</v>
      </c>
      <c r="S149" s="53">
        <v>-6661.54</v>
      </c>
      <c r="T149" s="53">
        <v>-15206.51</v>
      </c>
      <c r="U149" s="53">
        <v>-2970.43</v>
      </c>
      <c r="V149" s="53">
        <v>-9123.17</v>
      </c>
      <c r="W149" s="49">
        <v>0</v>
      </c>
      <c r="X149" s="53">
        <v>-15494.15</v>
      </c>
      <c r="Y149" s="53">
        <v>-6863.38</v>
      </c>
      <c r="Z149" s="53">
        <v>-81490.14</v>
      </c>
    </row>
    <row r="150" customHeight="1" spans="1:26">
      <c r="A150" s="68" t="s">
        <v>314</v>
      </c>
      <c r="B150" s="53">
        <v>-37817.41</v>
      </c>
      <c r="C150" s="53">
        <v>30000</v>
      </c>
      <c r="D150" s="83">
        <v>0</v>
      </c>
      <c r="E150" s="49">
        <v>0</v>
      </c>
      <c r="F150" s="49">
        <v>0</v>
      </c>
      <c r="G150" s="49">
        <v>0</v>
      </c>
      <c r="H150" s="49">
        <v>0</v>
      </c>
      <c r="I150" s="53">
        <v>-4845.23</v>
      </c>
      <c r="J150" s="49">
        <v>0</v>
      </c>
      <c r="K150" s="49">
        <v>0</v>
      </c>
      <c r="L150" s="49">
        <v>0</v>
      </c>
      <c r="M150" s="49">
        <v>0</v>
      </c>
      <c r="N150" s="49">
        <v>0</v>
      </c>
      <c r="O150" s="49">
        <v>0</v>
      </c>
      <c r="P150" s="49">
        <v>0</v>
      </c>
      <c r="Q150" s="49">
        <v>0</v>
      </c>
      <c r="R150" s="49">
        <v>0</v>
      </c>
      <c r="S150" s="49">
        <v>0</v>
      </c>
      <c r="T150" s="49">
        <v>0</v>
      </c>
      <c r="U150" s="49">
        <v>0</v>
      </c>
      <c r="V150" s="49">
        <v>0</v>
      </c>
      <c r="W150" s="49">
        <v>0</v>
      </c>
      <c r="X150" s="49">
        <v>0</v>
      </c>
      <c r="Y150" s="49">
        <v>0</v>
      </c>
      <c r="Z150" s="53">
        <v>-12662.64</v>
      </c>
    </row>
    <row r="151" customHeight="1" spans="1:26">
      <c r="A151" s="68" t="s">
        <v>315</v>
      </c>
      <c r="B151" s="53">
        <v>-100000</v>
      </c>
      <c r="C151" s="53">
        <v>100000</v>
      </c>
      <c r="D151" s="83">
        <v>0</v>
      </c>
      <c r="E151" s="49">
        <v>0</v>
      </c>
      <c r="F151" s="49">
        <v>0</v>
      </c>
      <c r="G151" s="49">
        <v>0</v>
      </c>
      <c r="H151" s="49">
        <v>0</v>
      </c>
      <c r="I151" s="49">
        <v>0</v>
      </c>
      <c r="J151" s="49">
        <v>0</v>
      </c>
      <c r="K151" s="49">
        <v>0</v>
      </c>
      <c r="L151" s="49">
        <v>0</v>
      </c>
      <c r="M151" s="49">
        <v>0</v>
      </c>
      <c r="N151" s="49">
        <v>0</v>
      </c>
      <c r="O151" s="49">
        <v>0</v>
      </c>
      <c r="P151" s="49">
        <v>0</v>
      </c>
      <c r="Q151" s="49">
        <v>0</v>
      </c>
      <c r="R151" s="49">
        <v>0</v>
      </c>
      <c r="S151" s="49">
        <v>0</v>
      </c>
      <c r="T151" s="49">
        <v>0</v>
      </c>
      <c r="U151" s="49">
        <v>0</v>
      </c>
      <c r="V151" s="49">
        <v>0</v>
      </c>
      <c r="W151" s="49">
        <v>0</v>
      </c>
      <c r="X151" s="49">
        <v>0</v>
      </c>
      <c r="Y151" s="49">
        <v>0</v>
      </c>
      <c r="Z151" s="49">
        <v>0</v>
      </c>
    </row>
    <row r="152" customHeight="1" spans="1:26">
      <c r="A152" s="68" t="s">
        <v>316</v>
      </c>
      <c r="B152" s="53">
        <v>89746.11</v>
      </c>
      <c r="C152" s="53">
        <v>-182107.38</v>
      </c>
      <c r="D152" s="84">
        <v>34003.45</v>
      </c>
      <c r="E152" s="53">
        <v>-1107.72</v>
      </c>
      <c r="F152" s="53">
        <v>29260.47</v>
      </c>
      <c r="G152" s="53">
        <v>32276.94</v>
      </c>
      <c r="H152" s="53">
        <v>5193.95</v>
      </c>
      <c r="I152" s="53">
        <v>6787.67</v>
      </c>
      <c r="J152" s="53">
        <v>14617.55</v>
      </c>
      <c r="K152" s="53">
        <v>26195.79</v>
      </c>
      <c r="L152" s="53">
        <v>14696.76</v>
      </c>
      <c r="M152" s="53">
        <v>39203.81</v>
      </c>
      <c r="N152" s="53">
        <v>41795.4</v>
      </c>
      <c r="O152" s="53">
        <v>-357547.66</v>
      </c>
      <c r="P152" s="53">
        <v>24911.3</v>
      </c>
      <c r="Q152" s="49">
        <v>952.45</v>
      </c>
      <c r="R152" s="53">
        <v>-3431.55</v>
      </c>
      <c r="S152" s="53">
        <v>14088.71</v>
      </c>
      <c r="T152" s="53">
        <v>13247.69</v>
      </c>
      <c r="U152" s="53">
        <v>-33073.09</v>
      </c>
      <c r="V152" s="53">
        <v>30094.97</v>
      </c>
      <c r="W152" s="53">
        <v>-7130.98</v>
      </c>
      <c r="X152" s="53">
        <v>8162.7</v>
      </c>
      <c r="Y152" s="53">
        <v>22524.33</v>
      </c>
      <c r="Z152" s="53">
        <v>-136638.33</v>
      </c>
    </row>
    <row r="153" customHeight="1" spans="1:26">
      <c r="A153" s="48" t="s">
        <v>317</v>
      </c>
      <c r="B153" s="53">
        <v>-997411.79</v>
      </c>
      <c r="C153" s="49">
        <v>0</v>
      </c>
      <c r="D153" s="83">
        <v>0</v>
      </c>
      <c r="E153" s="49">
        <v>0</v>
      </c>
      <c r="F153" s="49">
        <v>0</v>
      </c>
      <c r="G153" s="49">
        <v>0</v>
      </c>
      <c r="H153" s="49">
        <v>0</v>
      </c>
      <c r="I153" s="49">
        <v>0</v>
      </c>
      <c r="J153" s="49">
        <v>0</v>
      </c>
      <c r="K153" s="49">
        <v>0</v>
      </c>
      <c r="L153" s="49">
        <v>0</v>
      </c>
      <c r="M153" s="49">
        <v>0</v>
      </c>
      <c r="N153" s="49">
        <v>0</v>
      </c>
      <c r="O153" s="53">
        <v>-605164.23</v>
      </c>
      <c r="P153" s="49">
        <v>0</v>
      </c>
      <c r="Q153" s="49">
        <v>0</v>
      </c>
      <c r="R153" s="49">
        <v>0</v>
      </c>
      <c r="S153" s="49">
        <v>0</v>
      </c>
      <c r="T153" s="49">
        <v>0</v>
      </c>
      <c r="U153" s="49">
        <v>0</v>
      </c>
      <c r="V153" s="49">
        <v>0</v>
      </c>
      <c r="W153" s="49">
        <v>0</v>
      </c>
      <c r="X153" s="49">
        <v>0</v>
      </c>
      <c r="Y153" s="49">
        <v>0</v>
      </c>
      <c r="Z153" s="53">
        <v>-1602576.02</v>
      </c>
    </row>
    <row r="154" customHeight="1" spans="1:26">
      <c r="A154" s="48"/>
      <c r="B154" s="78"/>
      <c r="C154" s="78"/>
      <c r="D154" s="85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customHeight="1" spans="1:26">
      <c r="A155" s="68" t="s">
        <v>318</v>
      </c>
      <c r="B155" s="54">
        <v>1592666.17</v>
      </c>
      <c r="C155" s="54">
        <v>-222161.44</v>
      </c>
      <c r="D155" s="82">
        <v>12842.25</v>
      </c>
      <c r="E155" s="54">
        <v>-20563.92</v>
      </c>
      <c r="F155" s="54">
        <v>-1438.25</v>
      </c>
      <c r="G155" s="54">
        <v>-25183.8</v>
      </c>
      <c r="H155" s="54">
        <v>-15347.22</v>
      </c>
      <c r="I155" s="54">
        <v>-35395.79</v>
      </c>
      <c r="J155" s="54">
        <v>6263.58</v>
      </c>
      <c r="K155" s="54">
        <v>-5408.06</v>
      </c>
      <c r="L155" s="54">
        <v>-16404.68</v>
      </c>
      <c r="M155" s="54">
        <v>6339.72</v>
      </c>
      <c r="N155" s="54">
        <v>29945.44</v>
      </c>
      <c r="O155" s="54">
        <v>73330.48</v>
      </c>
      <c r="P155" s="54">
        <v>-2454.77</v>
      </c>
      <c r="Q155" s="54">
        <v>-15552.59</v>
      </c>
      <c r="R155" s="54">
        <v>-10296.09</v>
      </c>
      <c r="S155" s="54">
        <v>4054.53</v>
      </c>
      <c r="T155" s="54">
        <v>-1731.63</v>
      </c>
      <c r="U155" s="54">
        <v>7156.66</v>
      </c>
      <c r="V155" s="54">
        <v>24512.96</v>
      </c>
      <c r="W155" s="54">
        <v>14389.02</v>
      </c>
      <c r="X155" s="54">
        <v>-14833.87</v>
      </c>
      <c r="Y155" s="54">
        <v>14040.6</v>
      </c>
      <c r="Z155" s="54">
        <v>1398769.3</v>
      </c>
    </row>
    <row r="156" customHeight="1" spans="1:26">
      <c r="A156" s="4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customHeight="1" spans="1:26">
      <c r="A157" s="86" t="s">
        <v>319</v>
      </c>
      <c r="B157" s="54">
        <v>1888499.28</v>
      </c>
      <c r="C157" s="54">
        <v>-524936.58</v>
      </c>
      <c r="D157" s="54">
        <v>46845.7</v>
      </c>
      <c r="E157" s="54">
        <v>-21671.64</v>
      </c>
      <c r="F157" s="54">
        <v>27822.22</v>
      </c>
      <c r="G157" s="54">
        <v>7093.14</v>
      </c>
      <c r="H157" s="54">
        <v>-10153.27</v>
      </c>
      <c r="I157" s="54">
        <v>-28608.12</v>
      </c>
      <c r="J157" s="54">
        <v>18824.51</v>
      </c>
      <c r="K157" s="54">
        <v>20787.73</v>
      </c>
      <c r="L157" s="54">
        <v>-1707.92</v>
      </c>
      <c r="M157" s="54">
        <v>45543.53</v>
      </c>
      <c r="N157" s="54">
        <v>71740.84</v>
      </c>
      <c r="O157" s="54">
        <v>-182849.65</v>
      </c>
      <c r="P157" s="54">
        <v>22456.53</v>
      </c>
      <c r="Q157" s="54">
        <v>-14600.14</v>
      </c>
      <c r="R157" s="54">
        <v>-13727.64</v>
      </c>
      <c r="S157" s="54">
        <v>18143.24</v>
      </c>
      <c r="T157" s="54">
        <v>11516.06</v>
      </c>
      <c r="U157" s="54">
        <v>-25916.43</v>
      </c>
      <c r="V157" s="54">
        <v>54607.93</v>
      </c>
      <c r="W157" s="54">
        <v>7258.04</v>
      </c>
      <c r="X157" s="54">
        <v>-6671.17</v>
      </c>
      <c r="Y157" s="54">
        <v>36564.93</v>
      </c>
      <c r="Z157" s="54">
        <v>1446861.12</v>
      </c>
    </row>
    <row r="158" customHeight="1" spans="1:26">
      <c r="A158" s="48"/>
    </row>
    <row r="159" customHeight="1" spans="1:26">
      <c r="A159" s="87" t="s">
        <v>320</v>
      </c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customHeight="1" spans="1:26">
      <c r="A160" s="48" t="s">
        <v>321</v>
      </c>
      <c r="B160" s="53">
        <v>1302.5</v>
      </c>
      <c r="C160" s="53">
        <v>-38019.04</v>
      </c>
      <c r="D160" s="53">
        <v>10553.23</v>
      </c>
      <c r="E160" s="53">
        <v>7155.85</v>
      </c>
      <c r="F160" s="53">
        <v>19481.37</v>
      </c>
      <c r="G160" s="53">
        <v>20321.59</v>
      </c>
      <c r="H160" s="53">
        <v>4861.32</v>
      </c>
      <c r="I160" s="53">
        <v>-17866.69</v>
      </c>
      <c r="J160" s="53">
        <v>-38595.36</v>
      </c>
      <c r="K160" s="53">
        <v>-38656.18</v>
      </c>
      <c r="L160" s="53">
        <v>-39612.47</v>
      </c>
      <c r="M160" s="53">
        <v>-41833.34</v>
      </c>
      <c r="N160" s="53">
        <v>-43723.34</v>
      </c>
      <c r="O160" s="53">
        <v>-43723.34</v>
      </c>
      <c r="P160" s="49">
        <v>230</v>
      </c>
      <c r="Q160" s="49">
        <v>230</v>
      </c>
      <c r="R160" s="49">
        <v>230</v>
      </c>
      <c r="S160" s="49">
        <v>0</v>
      </c>
      <c r="T160" s="49">
        <v>0</v>
      </c>
      <c r="U160" s="49">
        <v>0</v>
      </c>
      <c r="V160" s="49">
        <v>0</v>
      </c>
      <c r="W160" s="49">
        <v>0</v>
      </c>
      <c r="X160" s="49">
        <v>0</v>
      </c>
      <c r="Y160" s="49">
        <v>0</v>
      </c>
      <c r="Z160" s="88">
        <v>1302.5</v>
      </c>
    </row>
    <row r="161" customHeight="1" spans="1:26">
      <c r="A161" s="48" t="s">
        <v>322</v>
      </c>
      <c r="B161" s="53">
        <v>-38019.04</v>
      </c>
      <c r="C161" s="53">
        <v>10553.23</v>
      </c>
      <c r="D161" s="53">
        <v>7155.85</v>
      </c>
      <c r="E161" s="53">
        <v>19481.37</v>
      </c>
      <c r="F161" s="53">
        <v>20321.59</v>
      </c>
      <c r="G161" s="53">
        <v>4861.32</v>
      </c>
      <c r="H161" s="53">
        <v>-17866.69</v>
      </c>
      <c r="I161" s="53">
        <v>-38595.36</v>
      </c>
      <c r="J161" s="53">
        <v>-38656.18</v>
      </c>
      <c r="K161" s="53">
        <v>-39612.47</v>
      </c>
      <c r="L161" s="53">
        <v>-41833.34</v>
      </c>
      <c r="M161" s="53">
        <v>-43723.34</v>
      </c>
      <c r="N161" s="53">
        <v>-43723.34</v>
      </c>
      <c r="O161" s="49">
        <v>230</v>
      </c>
      <c r="P161" s="49">
        <v>230</v>
      </c>
      <c r="Q161" s="49">
        <v>230</v>
      </c>
      <c r="R161" s="49">
        <v>0</v>
      </c>
      <c r="S161" s="49">
        <v>0</v>
      </c>
      <c r="T161" s="49">
        <v>0</v>
      </c>
      <c r="U161" s="49">
        <v>0</v>
      </c>
      <c r="V161" s="49">
        <v>0</v>
      </c>
      <c r="W161" s="49">
        <v>0</v>
      </c>
      <c r="X161" s="49">
        <v>0</v>
      </c>
      <c r="Y161" s="49">
        <v>0</v>
      </c>
      <c r="Z161" s="89">
        <v>0</v>
      </c>
    </row>
    <row r="162" customHeight="1" spans="1:26">
      <c r="A162" s="87" t="s">
        <v>323</v>
      </c>
      <c r="B162" s="88">
        <v>-39321.54</v>
      </c>
      <c r="C162" s="88">
        <v>48572.27</v>
      </c>
      <c r="D162" s="88">
        <v>-3397.38</v>
      </c>
      <c r="E162" s="88">
        <v>12325.52</v>
      </c>
      <c r="F162" s="89">
        <v>840.22</v>
      </c>
      <c r="G162" s="88">
        <v>-15460.27</v>
      </c>
      <c r="H162" s="88">
        <v>-22728.01</v>
      </c>
      <c r="I162" s="88">
        <v>-20728.67</v>
      </c>
      <c r="J162" s="89">
        <v>-60.82</v>
      </c>
      <c r="K162" s="89">
        <v>-956.29</v>
      </c>
      <c r="L162" s="88">
        <v>-2220.87</v>
      </c>
      <c r="M162" s="88">
        <v>-1890</v>
      </c>
      <c r="N162" s="89">
        <v>0</v>
      </c>
      <c r="O162" s="88">
        <v>43953.34</v>
      </c>
      <c r="P162" s="89">
        <v>0</v>
      </c>
      <c r="Q162" s="89">
        <v>0</v>
      </c>
      <c r="R162" s="89">
        <v>-230</v>
      </c>
      <c r="S162" s="89">
        <v>0</v>
      </c>
      <c r="T162" s="89">
        <v>0</v>
      </c>
      <c r="U162" s="89">
        <v>0</v>
      </c>
      <c r="V162" s="89">
        <v>0</v>
      </c>
      <c r="W162" s="89">
        <v>0</v>
      </c>
      <c r="X162" s="89">
        <v>0</v>
      </c>
      <c r="Y162" s="89">
        <v>0</v>
      </c>
      <c r="Z162" s="88">
        <v>-1302.5</v>
      </c>
    </row>
    <row r="163" customHeight="1" spans="1:26">
      <c r="A163" s="48"/>
    </row>
    <row r="164" customHeight="1" spans="1:26">
      <c r="A164" s="87" t="s">
        <v>271</v>
      </c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customHeight="1" spans="1:26">
      <c r="A165" s="48" t="s">
        <v>321</v>
      </c>
      <c r="B165" s="49">
        <v>0</v>
      </c>
      <c r="C165" s="53">
        <v>-5586.51</v>
      </c>
      <c r="D165" s="53">
        <v>1526.26</v>
      </c>
      <c r="E165" s="53">
        <v>1449.4</v>
      </c>
      <c r="F165" s="53">
        <v>1480.38</v>
      </c>
      <c r="G165" s="53">
        <v>1250.95</v>
      </c>
      <c r="H165" s="53">
        <v>6585.1</v>
      </c>
      <c r="I165" s="53">
        <v>2938.19</v>
      </c>
      <c r="J165" s="53">
        <v>6422.65</v>
      </c>
      <c r="K165" s="53">
        <v>6422.65</v>
      </c>
      <c r="L165" s="53">
        <v>6402.56</v>
      </c>
      <c r="M165" s="53">
        <v>4663.14</v>
      </c>
      <c r="N165" s="53">
        <v>6782.52</v>
      </c>
      <c r="O165" s="53">
        <v>1182.12</v>
      </c>
      <c r="P165" s="53">
        <v>5478.47</v>
      </c>
      <c r="Q165" s="53">
        <v>2348.26</v>
      </c>
      <c r="R165" s="49">
        <v>-317.28</v>
      </c>
      <c r="S165" s="53">
        <v>2047.26</v>
      </c>
      <c r="T165" s="53">
        <v>3610.02</v>
      </c>
      <c r="U165" s="53">
        <v>4307.83</v>
      </c>
      <c r="V165" s="53">
        <v>2120.28</v>
      </c>
      <c r="W165" s="53">
        <v>2129.12</v>
      </c>
      <c r="X165" s="53">
        <v>1334.12</v>
      </c>
      <c r="Y165" s="53">
        <v>2400.18</v>
      </c>
      <c r="Z165" s="89">
        <v>0</v>
      </c>
    </row>
    <row r="166" customHeight="1" spans="1:26">
      <c r="A166" s="48" t="s">
        <v>322</v>
      </c>
      <c r="B166" s="53">
        <v>-5586.51</v>
      </c>
      <c r="C166" s="53">
        <v>1526.26</v>
      </c>
      <c r="D166" s="53">
        <v>1449.4</v>
      </c>
      <c r="E166" s="53">
        <v>1480.38</v>
      </c>
      <c r="F166" s="53">
        <v>1250.95</v>
      </c>
      <c r="G166" s="53">
        <v>6585.1</v>
      </c>
      <c r="H166" s="53">
        <v>2938.19</v>
      </c>
      <c r="I166" s="53">
        <v>6422.65</v>
      </c>
      <c r="J166" s="53">
        <v>6422.65</v>
      </c>
      <c r="K166" s="53">
        <v>6402.56</v>
      </c>
      <c r="L166" s="53">
        <v>4663.14</v>
      </c>
      <c r="M166" s="53">
        <v>6782.52</v>
      </c>
      <c r="N166" s="53">
        <v>1182.12</v>
      </c>
      <c r="O166" s="53">
        <v>5478.47</v>
      </c>
      <c r="P166" s="53">
        <v>2348.26</v>
      </c>
      <c r="Q166" s="49">
        <v>-317.28</v>
      </c>
      <c r="R166" s="53">
        <v>2047.26</v>
      </c>
      <c r="S166" s="53">
        <v>3610.02</v>
      </c>
      <c r="T166" s="53">
        <v>4307.83</v>
      </c>
      <c r="U166" s="53">
        <v>2120.28</v>
      </c>
      <c r="V166" s="53">
        <v>2129.12</v>
      </c>
      <c r="W166" s="53">
        <v>1334.12</v>
      </c>
      <c r="X166" s="53">
        <v>2400.18</v>
      </c>
      <c r="Y166" s="53">
        <v>3872.75</v>
      </c>
      <c r="Z166" s="88">
        <v>3872.75</v>
      </c>
    </row>
    <row r="167" customHeight="1" spans="1:26">
      <c r="A167" s="87" t="s">
        <v>323</v>
      </c>
      <c r="B167" s="88">
        <v>-5586.51</v>
      </c>
      <c r="C167" s="88">
        <v>7112.77</v>
      </c>
      <c r="D167" s="89">
        <v>-76.86</v>
      </c>
      <c r="E167" s="89">
        <v>30.98</v>
      </c>
      <c r="F167" s="89">
        <v>-229.43</v>
      </c>
      <c r="G167" s="88">
        <v>5334.15</v>
      </c>
      <c r="H167" s="88">
        <v>-3646.91</v>
      </c>
      <c r="I167" s="88">
        <v>3484.46</v>
      </c>
      <c r="J167" s="89">
        <v>0</v>
      </c>
      <c r="K167" s="89">
        <v>-20.09</v>
      </c>
      <c r="L167" s="88">
        <v>-1739.42</v>
      </c>
      <c r="M167" s="88">
        <v>2119.38</v>
      </c>
      <c r="N167" s="88">
        <v>-5600.4</v>
      </c>
      <c r="O167" s="88">
        <v>4296.35</v>
      </c>
      <c r="P167" s="88">
        <v>-3130.21</v>
      </c>
      <c r="Q167" s="88">
        <v>-2665.54</v>
      </c>
      <c r="R167" s="88">
        <v>2364.54</v>
      </c>
      <c r="S167" s="88">
        <v>1562.76</v>
      </c>
      <c r="T167" s="89">
        <v>697.81</v>
      </c>
      <c r="U167" s="88">
        <v>-2187.55</v>
      </c>
      <c r="V167" s="89">
        <v>8.84</v>
      </c>
      <c r="W167" s="89">
        <v>-795</v>
      </c>
      <c r="X167" s="88">
        <v>1066.06</v>
      </c>
      <c r="Y167" s="88">
        <v>1472.57</v>
      </c>
      <c r="Z167" s="88">
        <v>3872.75</v>
      </c>
    </row>
    <row r="168" customHeight="1" spans="1:26">
      <c r="A168" s="48"/>
    </row>
    <row r="169" customHeight="1" spans="1:26">
      <c r="A169" s="87" t="s">
        <v>324</v>
      </c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customHeight="1" spans="1:26">
      <c r="A170" s="48" t="s">
        <v>321</v>
      </c>
      <c r="B170" s="49">
        <v>0</v>
      </c>
      <c r="C170" s="53">
        <v>1020</v>
      </c>
      <c r="D170" s="53">
        <v>1045.5</v>
      </c>
      <c r="E170" s="53">
        <v>17285.13</v>
      </c>
      <c r="F170" s="53">
        <v>14962.14</v>
      </c>
      <c r="G170" s="53">
        <v>16283.67</v>
      </c>
      <c r="H170" s="53">
        <v>7935.14</v>
      </c>
      <c r="I170" s="53">
        <v>15315.93</v>
      </c>
      <c r="J170" s="53">
        <v>4913.41</v>
      </c>
      <c r="K170" s="53">
        <v>11237.81</v>
      </c>
      <c r="L170" s="53">
        <v>8586.04</v>
      </c>
      <c r="M170" s="53">
        <v>-5597.77</v>
      </c>
      <c r="N170" s="53">
        <v>2631.95</v>
      </c>
      <c r="O170" s="53">
        <v>24777.39</v>
      </c>
      <c r="P170" s="53">
        <v>31592.65</v>
      </c>
      <c r="Q170" s="53">
        <v>30247.38</v>
      </c>
      <c r="R170" s="53">
        <v>14694.79</v>
      </c>
      <c r="S170" s="53">
        <v>6847.7</v>
      </c>
      <c r="T170" s="53">
        <v>8683.23</v>
      </c>
      <c r="U170" s="53">
        <v>6951.6</v>
      </c>
      <c r="V170" s="53">
        <v>14108.26</v>
      </c>
      <c r="W170" s="53">
        <v>39571.22</v>
      </c>
      <c r="X170" s="53">
        <v>22860.24</v>
      </c>
      <c r="Y170" s="53">
        <v>8026.37</v>
      </c>
      <c r="Z170" s="89">
        <v>0</v>
      </c>
    </row>
    <row r="171" customHeight="1" spans="1:26">
      <c r="A171" s="48" t="s">
        <v>322</v>
      </c>
      <c r="B171" s="53">
        <v>1020</v>
      </c>
      <c r="C171" s="53">
        <v>1045.5</v>
      </c>
      <c r="D171" s="53">
        <v>17285.13</v>
      </c>
      <c r="E171" s="53">
        <v>14962.14</v>
      </c>
      <c r="F171" s="53">
        <v>16283.67</v>
      </c>
      <c r="G171" s="53">
        <v>7935.14</v>
      </c>
      <c r="H171" s="53">
        <v>15315.93</v>
      </c>
      <c r="I171" s="53">
        <v>4913.41</v>
      </c>
      <c r="J171" s="53">
        <v>11237.81</v>
      </c>
      <c r="K171" s="53">
        <v>8586.04</v>
      </c>
      <c r="L171" s="53">
        <v>-5597.77</v>
      </c>
      <c r="M171" s="53">
        <v>2631.95</v>
      </c>
      <c r="N171" s="53">
        <v>24777.39</v>
      </c>
      <c r="O171" s="53">
        <v>31592.65</v>
      </c>
      <c r="P171" s="53">
        <v>30247.38</v>
      </c>
      <c r="Q171" s="53">
        <v>14694.79</v>
      </c>
      <c r="R171" s="53">
        <v>6847.7</v>
      </c>
      <c r="S171" s="53">
        <v>8683.23</v>
      </c>
      <c r="T171" s="53">
        <v>6951.6</v>
      </c>
      <c r="U171" s="53">
        <v>14108.26</v>
      </c>
      <c r="V171" s="53">
        <v>39571.22</v>
      </c>
      <c r="W171" s="53">
        <v>22860.24</v>
      </c>
      <c r="X171" s="53">
        <v>8026.37</v>
      </c>
      <c r="Y171" s="53">
        <v>22066.97</v>
      </c>
      <c r="Z171" s="88">
        <v>22066.97</v>
      </c>
    </row>
    <row r="172" customHeight="1" spans="1:26">
      <c r="A172" s="87" t="s">
        <v>323</v>
      </c>
      <c r="B172" s="88">
        <v>1020</v>
      </c>
      <c r="C172" s="89">
        <v>25.5</v>
      </c>
      <c r="D172" s="88">
        <v>16239.63</v>
      </c>
      <c r="E172" s="88">
        <v>-2322.99</v>
      </c>
      <c r="F172" s="88">
        <v>1321.53</v>
      </c>
      <c r="G172" s="88">
        <v>-8348.53</v>
      </c>
      <c r="H172" s="88">
        <v>7380.79</v>
      </c>
      <c r="I172" s="88">
        <v>-10402.52</v>
      </c>
      <c r="J172" s="88">
        <v>6324.4</v>
      </c>
      <c r="K172" s="88">
        <v>-2651.77</v>
      </c>
      <c r="L172" s="88">
        <v>-14183.81</v>
      </c>
      <c r="M172" s="88">
        <v>8229.72</v>
      </c>
      <c r="N172" s="88">
        <v>22145.44</v>
      </c>
      <c r="O172" s="88">
        <v>6815.26</v>
      </c>
      <c r="P172" s="88">
        <v>-1345.27</v>
      </c>
      <c r="Q172" s="88">
        <v>-15552.59</v>
      </c>
      <c r="R172" s="88">
        <v>-7847.09</v>
      </c>
      <c r="S172" s="88">
        <v>1835.53</v>
      </c>
      <c r="T172" s="88">
        <v>-1731.63</v>
      </c>
      <c r="U172" s="88">
        <v>7156.66</v>
      </c>
      <c r="V172" s="88">
        <v>25462.96</v>
      </c>
      <c r="W172" s="88">
        <v>-16710.98</v>
      </c>
      <c r="X172" s="88">
        <v>-14833.87</v>
      </c>
      <c r="Y172" s="88">
        <v>14040.6</v>
      </c>
      <c r="Z172" s="88">
        <v>22066.97</v>
      </c>
    </row>
    <row r="173" customHeight="1" spans="1:26">
      <c r="A173" s="48"/>
    </row>
    <row r="174" customHeight="1" spans="1:26">
      <c r="A174" s="87" t="s">
        <v>325</v>
      </c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customHeight="1" spans="1:26">
      <c r="A175" s="48" t="s">
        <v>321</v>
      </c>
      <c r="B175" s="49">
        <v>0</v>
      </c>
      <c r="C175" s="49">
        <v>0</v>
      </c>
      <c r="D175" s="49">
        <v>0</v>
      </c>
      <c r="E175" s="49">
        <v>0</v>
      </c>
      <c r="F175" s="49">
        <v>0</v>
      </c>
      <c r="G175" s="49">
        <v>0</v>
      </c>
      <c r="H175" s="49">
        <v>0</v>
      </c>
      <c r="I175" s="49">
        <v>0</v>
      </c>
      <c r="J175" s="49">
        <v>0</v>
      </c>
      <c r="K175" s="49">
        <v>0</v>
      </c>
      <c r="L175" s="49">
        <v>0</v>
      </c>
      <c r="M175" s="49">
        <v>0</v>
      </c>
      <c r="N175" s="49">
        <v>0</v>
      </c>
      <c r="O175" s="49">
        <v>0</v>
      </c>
      <c r="P175" s="49">
        <v>0</v>
      </c>
      <c r="Q175" s="49">
        <v>0</v>
      </c>
      <c r="R175" s="49">
        <v>0</v>
      </c>
      <c r="S175" s="49">
        <v>0</v>
      </c>
      <c r="T175" s="49">
        <v>0</v>
      </c>
      <c r="U175" s="49">
        <v>0</v>
      </c>
      <c r="V175" s="49">
        <v>0</v>
      </c>
      <c r="W175" s="49">
        <v>0</v>
      </c>
      <c r="X175" s="49">
        <v>0</v>
      </c>
      <c r="Y175" s="49">
        <v>0</v>
      </c>
      <c r="Z175" s="89">
        <v>0</v>
      </c>
    </row>
    <row r="176" customHeight="1" spans="1:26">
      <c r="A176" s="48" t="s">
        <v>322</v>
      </c>
      <c r="B176" s="49">
        <v>0</v>
      </c>
      <c r="C176" s="49">
        <v>0</v>
      </c>
      <c r="D176" s="49">
        <v>0</v>
      </c>
      <c r="E176" s="49">
        <v>0</v>
      </c>
      <c r="F176" s="49">
        <v>0</v>
      </c>
      <c r="G176" s="49">
        <v>0</v>
      </c>
      <c r="H176" s="49">
        <v>0</v>
      </c>
      <c r="I176" s="49">
        <v>0</v>
      </c>
      <c r="J176" s="49">
        <v>0</v>
      </c>
      <c r="K176" s="49">
        <v>0</v>
      </c>
      <c r="L176" s="49">
        <v>0</v>
      </c>
      <c r="M176" s="49">
        <v>0</v>
      </c>
      <c r="N176" s="49">
        <v>0</v>
      </c>
      <c r="O176" s="49">
        <v>0</v>
      </c>
      <c r="P176" s="49">
        <v>0</v>
      </c>
      <c r="Q176" s="49">
        <v>0</v>
      </c>
      <c r="R176" s="49">
        <v>0</v>
      </c>
      <c r="S176" s="49">
        <v>0</v>
      </c>
      <c r="T176" s="49">
        <v>0</v>
      </c>
      <c r="U176" s="49">
        <v>0</v>
      </c>
      <c r="V176" s="49">
        <v>0</v>
      </c>
      <c r="W176" s="49">
        <v>0</v>
      </c>
      <c r="X176" s="49">
        <v>0</v>
      </c>
      <c r="Y176" s="49">
        <v>0</v>
      </c>
      <c r="Z176" s="89">
        <v>0</v>
      </c>
    </row>
    <row r="177" customHeight="1" spans="1:26">
      <c r="A177" s="87" t="s">
        <v>323</v>
      </c>
      <c r="B177" s="89">
        <v>0</v>
      </c>
      <c r="C177" s="89">
        <v>0</v>
      </c>
      <c r="D177" s="89">
        <v>0</v>
      </c>
      <c r="E177" s="89">
        <v>0</v>
      </c>
      <c r="F177" s="89">
        <v>0</v>
      </c>
      <c r="G177" s="89">
        <v>0</v>
      </c>
      <c r="H177" s="89">
        <v>0</v>
      </c>
      <c r="I177" s="89">
        <v>0</v>
      </c>
      <c r="J177" s="89">
        <v>0</v>
      </c>
      <c r="K177" s="89">
        <v>0</v>
      </c>
      <c r="L177" s="89">
        <v>0</v>
      </c>
      <c r="M177" s="89">
        <v>0</v>
      </c>
      <c r="N177" s="89">
        <v>0</v>
      </c>
      <c r="O177" s="89">
        <v>0</v>
      </c>
      <c r="P177" s="89">
        <v>0</v>
      </c>
      <c r="Q177" s="89">
        <v>0</v>
      </c>
      <c r="R177" s="89">
        <v>0</v>
      </c>
      <c r="S177" s="89">
        <v>0</v>
      </c>
      <c r="T177" s="89">
        <v>0</v>
      </c>
      <c r="U177" s="89">
        <v>0</v>
      </c>
      <c r="V177" s="89">
        <v>0</v>
      </c>
      <c r="W177" s="89">
        <v>0</v>
      </c>
      <c r="X177" s="89">
        <v>0</v>
      </c>
      <c r="Y177" s="89">
        <v>0</v>
      </c>
      <c r="Z177" s="89">
        <v>0</v>
      </c>
    </row>
    <row r="178" customHeight="1" spans="1:26">
      <c r="A178" s="48"/>
    </row>
  </sheetData>
  <mergeCells count="9">
    <mergeCell ref="A1:Z1"/>
    <mergeCell ref="A2:Z2"/>
    <mergeCell ref="A3:Z3"/>
    <mergeCell ref="A4:Z4"/>
    <mergeCell ref="A158:Z158"/>
    <mergeCell ref="A163:Z163"/>
    <mergeCell ref="A168:Z168"/>
    <mergeCell ref="A173:Z173"/>
    <mergeCell ref="A178:Z178"/>
  </mergeCells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46"/>
  <sheetViews>
    <sheetView topLeftCell="A22" workbookViewId="0">
      <selection activeCell="A8" sqref="A8:B35"/>
    </sheetView>
  </sheetViews>
  <sheetFormatPr defaultColWidth="14.4336283185841" defaultRowHeight="15" customHeight="1"/>
  <sheetData>
    <row r="1" customHeight="1" spans="1:13">
      <c r="A1" s="2" t="s">
        <v>326</v>
      </c>
    </row>
    <row r="2" customHeight="1" spans="1:13">
      <c r="A2" s="2" t="s">
        <v>327</v>
      </c>
    </row>
    <row r="3" customHeight="1" spans="1:13">
      <c r="A3" s="2" t="s">
        <v>328</v>
      </c>
    </row>
    <row r="4" customHeight="1" spans="1:13">
      <c r="A4" s="2" t="s">
        <v>329</v>
      </c>
    </row>
    <row r="5" customHeight="1" spans="1:13">
      <c r="A5" s="2" t="s">
        <v>330</v>
      </c>
      <c r="B5" s="2" t="s">
        <v>330</v>
      </c>
      <c r="C5" s="2" t="s">
        <v>331</v>
      </c>
      <c r="D5" s="2" t="s">
        <v>332</v>
      </c>
      <c r="E5" s="2" t="s">
        <v>333</v>
      </c>
      <c r="F5" s="2" t="s">
        <v>334</v>
      </c>
      <c r="G5" s="2" t="s">
        <v>116</v>
      </c>
      <c r="H5" s="2" t="s">
        <v>335</v>
      </c>
      <c r="I5" s="2" t="s">
        <v>335</v>
      </c>
      <c r="J5" s="2" t="s">
        <v>336</v>
      </c>
      <c r="K5" s="2" t="s">
        <v>337</v>
      </c>
      <c r="L5" s="2" t="s">
        <v>338</v>
      </c>
      <c r="M5" s="2" t="s">
        <v>339</v>
      </c>
    </row>
    <row r="6" customHeight="1" spans="1:13">
      <c r="B6" s="2" t="s">
        <v>340</v>
      </c>
      <c r="D6" s="2" t="s">
        <v>341</v>
      </c>
      <c r="E6" s="2" t="s">
        <v>342</v>
      </c>
      <c r="F6" s="2" t="s">
        <v>343</v>
      </c>
      <c r="G6" s="2" t="s">
        <v>343</v>
      </c>
      <c r="I6" s="2" t="s">
        <v>342</v>
      </c>
      <c r="K6" s="2" t="s">
        <v>344</v>
      </c>
    </row>
    <row r="7" customHeight="1" spans="1:13">
      <c r="A7" s="2" t="s">
        <v>345</v>
      </c>
    </row>
    <row r="8" customHeight="1" spans="1:13">
      <c r="A8" s="2" t="s">
        <v>346</v>
      </c>
      <c r="B8" s="2">
        <v>540</v>
      </c>
      <c r="C8" s="2" t="s">
        <v>347</v>
      </c>
      <c r="D8" s="40">
        <v>1450</v>
      </c>
      <c r="E8" s="2">
        <v>2.69</v>
      </c>
      <c r="F8" s="2">
        <v>0</v>
      </c>
      <c r="G8" s="40">
        <v>1450</v>
      </c>
      <c r="H8" s="2">
        <v>0</v>
      </c>
      <c r="I8" s="2">
        <v>0</v>
      </c>
      <c r="J8" s="41">
        <v>45870</v>
      </c>
      <c r="K8" s="41">
        <v>46234</v>
      </c>
      <c r="M8" s="2">
        <v>0</v>
      </c>
    </row>
    <row r="9" customHeight="1" spans="1:13">
      <c r="A9" s="2" t="s">
        <v>23</v>
      </c>
      <c r="B9" s="2">
        <v>840</v>
      </c>
      <c r="C9" s="2" t="s">
        <v>348</v>
      </c>
      <c r="D9" s="40">
        <v>1850</v>
      </c>
      <c r="E9" s="2">
        <v>2.2</v>
      </c>
      <c r="F9" s="2">
        <v>0</v>
      </c>
      <c r="G9" s="40">
        <v>3700</v>
      </c>
      <c r="H9" s="2">
        <v>0</v>
      </c>
      <c r="I9" s="2">
        <v>0</v>
      </c>
      <c r="J9" s="41">
        <v>45884</v>
      </c>
      <c r="K9" s="41">
        <v>46234</v>
      </c>
      <c r="M9" s="2">
        <v>0</v>
      </c>
    </row>
    <row r="10" customHeight="1" spans="1:13">
      <c r="A10" s="2" t="s">
        <v>349</v>
      </c>
      <c r="B10" s="2">
        <v>540</v>
      </c>
      <c r="C10" s="2" t="s">
        <v>350</v>
      </c>
      <c r="D10" s="40">
        <v>1350</v>
      </c>
      <c r="E10" s="2">
        <v>2.5</v>
      </c>
      <c r="F10" s="2">
        <v>0</v>
      </c>
      <c r="G10" s="40">
        <v>1350</v>
      </c>
      <c r="H10" s="2">
        <v>0</v>
      </c>
      <c r="I10" s="2">
        <v>0</v>
      </c>
      <c r="J10" s="41">
        <v>45873</v>
      </c>
      <c r="K10" s="41">
        <v>46237</v>
      </c>
      <c r="M10" s="2">
        <v>0</v>
      </c>
    </row>
    <row r="11" customHeight="1" spans="1:13">
      <c r="A11" s="2" t="s">
        <v>351</v>
      </c>
      <c r="B11" s="2">
        <v>540</v>
      </c>
      <c r="C11" s="2" t="s">
        <v>352</v>
      </c>
      <c r="D11" s="40">
        <v>1450</v>
      </c>
      <c r="E11" s="2">
        <v>2.69</v>
      </c>
      <c r="F11" s="2">
        <v>0</v>
      </c>
      <c r="G11" s="40">
        <v>1450</v>
      </c>
      <c r="H11" s="2">
        <v>0</v>
      </c>
      <c r="I11" s="2">
        <v>0</v>
      </c>
      <c r="J11" s="41">
        <v>45873</v>
      </c>
      <c r="K11" s="41">
        <v>46234</v>
      </c>
      <c r="M11" s="2">
        <v>0</v>
      </c>
    </row>
    <row r="12" customHeight="1" spans="1:13">
      <c r="A12" s="2" t="s">
        <v>353</v>
      </c>
      <c r="B12" s="2">
        <v>840</v>
      </c>
      <c r="C12" s="2" t="s">
        <v>354</v>
      </c>
      <c r="D12" s="40">
        <v>1850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M12" s="2">
        <v>0</v>
      </c>
    </row>
    <row r="13" customHeight="1" spans="1:13">
      <c r="A13" s="2" t="s">
        <v>355</v>
      </c>
      <c r="B13" s="2">
        <v>840</v>
      </c>
      <c r="C13" s="2" t="s">
        <v>356</v>
      </c>
      <c r="D13" s="40">
        <v>1850</v>
      </c>
      <c r="E13" s="2">
        <v>2.2</v>
      </c>
      <c r="F13" s="2">
        <v>0</v>
      </c>
      <c r="G13" s="40">
        <v>1850</v>
      </c>
      <c r="H13" s="2">
        <v>0</v>
      </c>
      <c r="I13" s="2">
        <v>0</v>
      </c>
      <c r="J13" s="41">
        <v>45474</v>
      </c>
      <c r="K13" s="41">
        <v>46234</v>
      </c>
      <c r="M13" s="2">
        <v>0</v>
      </c>
    </row>
    <row r="14" customHeight="1" spans="1:13">
      <c r="A14" s="2" t="s">
        <v>357</v>
      </c>
      <c r="B14" s="2">
        <v>840</v>
      </c>
      <c r="C14" s="2" t="s">
        <v>358</v>
      </c>
      <c r="D14" s="40">
        <v>1850</v>
      </c>
      <c r="E14" s="2">
        <v>2.2</v>
      </c>
      <c r="F14" s="2">
        <v>0</v>
      </c>
      <c r="G14" s="40">
        <v>3700</v>
      </c>
      <c r="H14" s="2">
        <v>20</v>
      </c>
      <c r="I14" s="2">
        <v>0.02</v>
      </c>
      <c r="J14" s="41">
        <v>45884</v>
      </c>
      <c r="K14" s="41">
        <v>46234</v>
      </c>
      <c r="M14" s="2">
        <v>0</v>
      </c>
    </row>
    <row r="15" customHeight="1" spans="1:13">
      <c r="A15" s="2" t="s">
        <v>24</v>
      </c>
      <c r="B15" s="2">
        <v>840</v>
      </c>
      <c r="C15" s="2" t="s">
        <v>359</v>
      </c>
      <c r="D15" s="40">
        <v>1850</v>
      </c>
      <c r="E15" s="2">
        <v>2.2</v>
      </c>
      <c r="F15" s="2">
        <v>0</v>
      </c>
      <c r="G15" s="40">
        <v>3700</v>
      </c>
      <c r="H15" s="2">
        <v>20</v>
      </c>
      <c r="I15" s="2">
        <v>0.02</v>
      </c>
      <c r="J15" s="41">
        <v>45873</v>
      </c>
      <c r="K15" s="41">
        <v>46234</v>
      </c>
      <c r="M15" s="2">
        <v>0</v>
      </c>
    </row>
    <row r="16" customHeight="1" spans="1:13">
      <c r="A16" s="2" t="s">
        <v>360</v>
      </c>
      <c r="B16" s="2">
        <v>540</v>
      </c>
      <c r="C16" s="2" t="s">
        <v>361</v>
      </c>
      <c r="D16" s="40">
        <v>1450</v>
      </c>
      <c r="E16" s="2">
        <v>2.69</v>
      </c>
      <c r="F16" s="2">
        <v>0</v>
      </c>
      <c r="G16" s="40">
        <v>2900</v>
      </c>
      <c r="H16" s="2">
        <v>20</v>
      </c>
      <c r="I16" s="2">
        <v>0.04</v>
      </c>
      <c r="J16" s="41">
        <v>45883</v>
      </c>
      <c r="K16" s="41">
        <v>46234</v>
      </c>
      <c r="M16" s="2">
        <v>0</v>
      </c>
    </row>
    <row r="17" customHeight="1" spans="1:13">
      <c r="A17" s="2" t="s">
        <v>362</v>
      </c>
      <c r="B17" s="2">
        <v>540</v>
      </c>
      <c r="C17" s="2" t="s">
        <v>363</v>
      </c>
      <c r="D17" s="40">
        <v>1450</v>
      </c>
      <c r="E17" s="2">
        <v>2.69</v>
      </c>
      <c r="F17" s="2">
        <v>0</v>
      </c>
      <c r="G17" s="40">
        <v>1375</v>
      </c>
      <c r="H17" s="2">
        <v>20</v>
      </c>
      <c r="I17" s="2">
        <v>0.04</v>
      </c>
      <c r="J17" s="41">
        <v>45508</v>
      </c>
      <c r="K17" s="41">
        <v>46234</v>
      </c>
      <c r="M17" s="2">
        <v>0</v>
      </c>
    </row>
    <row r="18" customHeight="1" spans="1:13">
      <c r="A18" s="2" t="s">
        <v>364</v>
      </c>
      <c r="B18" s="2">
        <v>840</v>
      </c>
      <c r="C18" s="2" t="s">
        <v>365</v>
      </c>
      <c r="D18" s="40">
        <v>1850</v>
      </c>
      <c r="E18" s="2">
        <v>2.2</v>
      </c>
      <c r="F18" s="2">
        <v>0</v>
      </c>
      <c r="G18" s="40">
        <v>1850</v>
      </c>
      <c r="H18" s="2">
        <v>0</v>
      </c>
      <c r="I18" s="2">
        <v>0</v>
      </c>
      <c r="J18" s="41">
        <v>45895</v>
      </c>
      <c r="K18" s="41">
        <v>46234</v>
      </c>
      <c r="M18" s="2">
        <v>0</v>
      </c>
    </row>
    <row r="19" customHeight="1" spans="1:13">
      <c r="A19" s="2" t="s">
        <v>366</v>
      </c>
      <c r="B19" s="2">
        <v>840</v>
      </c>
      <c r="C19" s="2" t="s">
        <v>367</v>
      </c>
      <c r="D19" s="40">
        <v>1850</v>
      </c>
      <c r="E19" s="2">
        <v>2.2</v>
      </c>
      <c r="F19" s="2">
        <v>0</v>
      </c>
      <c r="G19" s="40">
        <v>1850</v>
      </c>
      <c r="H19" s="2">
        <v>20</v>
      </c>
      <c r="I19" s="2">
        <v>0.02</v>
      </c>
      <c r="J19" s="41">
        <v>45895</v>
      </c>
      <c r="K19" s="41">
        <v>46234</v>
      </c>
      <c r="M19" s="2">
        <v>0</v>
      </c>
    </row>
    <row r="20" customHeight="1" spans="1:13">
      <c r="A20" s="2" t="s">
        <v>368</v>
      </c>
      <c r="B20" s="2">
        <v>960</v>
      </c>
      <c r="C20" s="2" t="s">
        <v>369</v>
      </c>
      <c r="D20" s="40">
        <v>1950</v>
      </c>
      <c r="E20" s="2">
        <v>2.03</v>
      </c>
      <c r="F20" s="2">
        <v>0</v>
      </c>
      <c r="G20" s="40">
        <v>3900</v>
      </c>
      <c r="H20" s="2">
        <v>20</v>
      </c>
      <c r="I20" s="2">
        <v>0.02</v>
      </c>
      <c r="J20" s="41">
        <v>45874</v>
      </c>
      <c r="K20" s="41">
        <v>46234</v>
      </c>
      <c r="M20" s="2">
        <v>0</v>
      </c>
    </row>
    <row r="21" customHeight="1" spans="1:13">
      <c r="A21" s="2" t="s">
        <v>370</v>
      </c>
      <c r="B21" s="2">
        <v>840</v>
      </c>
      <c r="C21" s="2" t="s">
        <v>371</v>
      </c>
      <c r="D21" s="40">
        <v>1700</v>
      </c>
      <c r="E21" s="2">
        <v>2.02</v>
      </c>
      <c r="F21" s="2">
        <v>0</v>
      </c>
      <c r="G21" s="40">
        <v>1700</v>
      </c>
      <c r="H21" s="2">
        <v>20</v>
      </c>
      <c r="I21" s="2">
        <v>0.02</v>
      </c>
      <c r="J21" s="41">
        <v>45873</v>
      </c>
      <c r="K21" s="41">
        <v>46234</v>
      </c>
      <c r="M21" s="2">
        <v>0</v>
      </c>
    </row>
    <row r="22" customHeight="1" spans="1:13">
      <c r="A22" s="2" t="s">
        <v>372</v>
      </c>
      <c r="B22" s="2">
        <v>840</v>
      </c>
      <c r="C22" s="2" t="s">
        <v>373</v>
      </c>
      <c r="D22" s="2">
        <v>800</v>
      </c>
      <c r="E22" s="2">
        <v>0.95</v>
      </c>
      <c r="F22" s="2">
        <v>0</v>
      </c>
      <c r="G22" s="2">
        <v>800</v>
      </c>
      <c r="H22" s="2">
        <v>10</v>
      </c>
      <c r="I22" s="2">
        <v>0.01</v>
      </c>
      <c r="J22" s="41">
        <v>45462</v>
      </c>
      <c r="K22" s="41">
        <v>46234</v>
      </c>
      <c r="M22" s="2">
        <v>0</v>
      </c>
    </row>
    <row r="23" customHeight="1" spans="1:13">
      <c r="A23" s="2" t="s">
        <v>374</v>
      </c>
      <c r="B23" s="2">
        <v>540</v>
      </c>
      <c r="C23" s="2" t="s">
        <v>375</v>
      </c>
      <c r="D23" s="40">
        <v>1450</v>
      </c>
      <c r="E23" s="2">
        <v>2.69</v>
      </c>
      <c r="F23" s="2">
        <v>0</v>
      </c>
      <c r="G23" s="2">
        <v>0</v>
      </c>
      <c r="H23" s="2">
        <v>0</v>
      </c>
      <c r="I23" s="2">
        <v>0</v>
      </c>
      <c r="J23" s="41">
        <v>45873</v>
      </c>
      <c r="K23" s="41">
        <v>46234</v>
      </c>
      <c r="M23" s="2">
        <v>0</v>
      </c>
    </row>
    <row r="24" customHeight="1" spans="1:13">
      <c r="A24" s="2" t="s">
        <v>376</v>
      </c>
      <c r="B24" s="2">
        <v>540</v>
      </c>
      <c r="C24" s="2" t="s">
        <v>377</v>
      </c>
      <c r="D24" s="40">
        <v>1450</v>
      </c>
      <c r="E24" s="2">
        <v>2.69</v>
      </c>
      <c r="F24" s="2">
        <v>0</v>
      </c>
      <c r="G24" s="40">
        <v>1375</v>
      </c>
      <c r="H24" s="2">
        <v>20</v>
      </c>
      <c r="I24" s="2">
        <v>0.04</v>
      </c>
      <c r="J24" s="41">
        <v>45079</v>
      </c>
      <c r="K24" s="41">
        <v>46234</v>
      </c>
      <c r="M24" s="40">
        <v>2495</v>
      </c>
    </row>
    <row r="25" customHeight="1" spans="1:13">
      <c r="A25" s="2" t="s">
        <v>378</v>
      </c>
      <c r="B25" s="2">
        <v>840</v>
      </c>
      <c r="C25" s="2" t="s">
        <v>379</v>
      </c>
      <c r="D25" s="40">
        <v>2060</v>
      </c>
      <c r="E25" s="2">
        <v>2.45</v>
      </c>
      <c r="F25" s="2">
        <v>0</v>
      </c>
      <c r="G25" s="40">
        <v>1930</v>
      </c>
      <c r="H25" s="2">
        <v>0</v>
      </c>
      <c r="I25" s="2">
        <v>0</v>
      </c>
      <c r="J25" s="41">
        <v>45154</v>
      </c>
      <c r="K25" s="41">
        <v>46234</v>
      </c>
      <c r="M25" s="2">
        <v>0</v>
      </c>
    </row>
    <row r="26" customHeight="1" spans="1:13">
      <c r="A26" s="2" t="s">
        <v>380</v>
      </c>
      <c r="B26" s="2">
        <v>840</v>
      </c>
      <c r="C26" s="2" t="s">
        <v>381</v>
      </c>
      <c r="D26" s="40">
        <v>1750</v>
      </c>
      <c r="E26" s="2">
        <v>2.08</v>
      </c>
      <c r="F26" s="2">
        <v>0</v>
      </c>
      <c r="G26" s="2">
        <v>0</v>
      </c>
      <c r="H26" s="2">
        <v>20</v>
      </c>
      <c r="I26" s="2">
        <v>0.02</v>
      </c>
      <c r="J26" s="41">
        <v>45504</v>
      </c>
      <c r="K26" s="41">
        <v>46234</v>
      </c>
      <c r="M26" s="2">
        <v>0</v>
      </c>
    </row>
    <row r="27" customHeight="1" spans="1:13">
      <c r="A27" s="2" t="s">
        <v>382</v>
      </c>
      <c r="B27" s="2">
        <v>960</v>
      </c>
      <c r="C27" s="2" t="s">
        <v>383</v>
      </c>
      <c r="D27" s="40">
        <v>1950</v>
      </c>
      <c r="E27" s="2">
        <v>2.03</v>
      </c>
      <c r="F27" s="2">
        <v>0</v>
      </c>
      <c r="G27" s="40">
        <v>3900</v>
      </c>
      <c r="H27" s="2">
        <v>20</v>
      </c>
      <c r="I27" s="2">
        <v>0.02</v>
      </c>
      <c r="J27" s="41">
        <v>45874</v>
      </c>
      <c r="K27" s="41">
        <v>46234</v>
      </c>
      <c r="M27" s="2">
        <v>0</v>
      </c>
    </row>
    <row r="28" customHeight="1" spans="1:13">
      <c r="A28" s="2" t="s">
        <v>384</v>
      </c>
      <c r="B28" s="2">
        <v>840</v>
      </c>
      <c r="C28" s="2" t="s">
        <v>385</v>
      </c>
      <c r="D28" s="40">
        <v>1950</v>
      </c>
      <c r="E28" s="2">
        <v>2.32</v>
      </c>
      <c r="F28" s="40">
        <v>1800</v>
      </c>
      <c r="G28" s="2">
        <v>0</v>
      </c>
      <c r="H28" s="2">
        <v>20</v>
      </c>
      <c r="I28" s="2">
        <v>0.02</v>
      </c>
      <c r="J28" s="41">
        <v>45509</v>
      </c>
      <c r="K28" s="41">
        <v>46234</v>
      </c>
      <c r="M28" s="2">
        <v>0</v>
      </c>
    </row>
    <row r="29" customHeight="1" spans="1:13">
      <c r="A29" s="2" t="s">
        <v>386</v>
      </c>
      <c r="B29" s="2">
        <v>840</v>
      </c>
      <c r="C29" s="2" t="s">
        <v>387</v>
      </c>
      <c r="D29" s="40">
        <v>1850</v>
      </c>
      <c r="E29" s="2">
        <v>2.2</v>
      </c>
      <c r="F29" s="2">
        <v>0</v>
      </c>
      <c r="G29" s="40">
        <v>1700</v>
      </c>
      <c r="H29" s="2">
        <v>0</v>
      </c>
      <c r="I29" s="2">
        <v>0</v>
      </c>
      <c r="J29" s="41">
        <v>45508</v>
      </c>
      <c r="K29" s="41">
        <v>46234</v>
      </c>
      <c r="M29" s="2">
        <v>0</v>
      </c>
    </row>
    <row r="30" customHeight="1" spans="1:13">
      <c r="A30" s="2" t="s">
        <v>388</v>
      </c>
      <c r="B30" s="2">
        <v>540</v>
      </c>
      <c r="C30" s="2" t="s">
        <v>389</v>
      </c>
      <c r="D30" s="2">
        <v>975</v>
      </c>
      <c r="E30" s="2">
        <v>1.81</v>
      </c>
      <c r="F30" s="2">
        <v>0</v>
      </c>
      <c r="G30" s="40">
        <v>1150</v>
      </c>
      <c r="H30" s="2">
        <v>20</v>
      </c>
      <c r="I30" s="2">
        <v>0.04</v>
      </c>
      <c r="J30" s="41">
        <v>44409</v>
      </c>
      <c r="K30" s="41">
        <v>46234</v>
      </c>
      <c r="M30" s="2">
        <v>0</v>
      </c>
    </row>
    <row r="31" customHeight="1" spans="1:13">
      <c r="A31" s="2" t="s">
        <v>390</v>
      </c>
      <c r="B31" s="2">
        <v>540</v>
      </c>
      <c r="C31" s="2" t="s">
        <v>391</v>
      </c>
      <c r="D31" s="40">
        <v>1450</v>
      </c>
      <c r="E31" s="2">
        <v>2.69</v>
      </c>
      <c r="F31" s="40">
        <v>1375</v>
      </c>
      <c r="G31" s="2">
        <v>0</v>
      </c>
      <c r="H31" s="2">
        <v>0</v>
      </c>
      <c r="I31" s="2">
        <v>0</v>
      </c>
      <c r="J31" s="41">
        <v>45508</v>
      </c>
      <c r="K31" s="41">
        <v>46234</v>
      </c>
      <c r="M31" s="2">
        <v>0</v>
      </c>
    </row>
    <row r="32" customHeight="1" spans="1:13">
      <c r="A32" s="2" t="s">
        <v>392</v>
      </c>
      <c r="B32" s="2">
        <v>840</v>
      </c>
      <c r="C32" s="2" t="s">
        <v>393</v>
      </c>
      <c r="D32" s="40">
        <v>1850</v>
      </c>
      <c r="E32" s="2">
        <v>2.2</v>
      </c>
      <c r="F32" s="2">
        <v>0</v>
      </c>
      <c r="G32" s="2">
        <v>0</v>
      </c>
      <c r="H32" s="2">
        <v>0</v>
      </c>
      <c r="I32" s="2">
        <v>0</v>
      </c>
      <c r="J32" s="41">
        <v>45873</v>
      </c>
      <c r="K32" s="41">
        <v>46234</v>
      </c>
      <c r="M32" s="2">
        <v>0</v>
      </c>
    </row>
    <row r="33" customHeight="1" spans="1:13">
      <c r="A33" s="2" t="s">
        <v>394</v>
      </c>
      <c r="B33" s="2">
        <v>840</v>
      </c>
      <c r="C33" s="2" t="s">
        <v>395</v>
      </c>
      <c r="D33" s="40">
        <v>1850</v>
      </c>
      <c r="E33" s="2">
        <v>2.2</v>
      </c>
      <c r="F33" s="2">
        <v>0</v>
      </c>
      <c r="G33" s="40">
        <v>1850</v>
      </c>
      <c r="H33" s="2">
        <v>0</v>
      </c>
      <c r="I33" s="2">
        <v>0</v>
      </c>
      <c r="J33" s="41">
        <v>45882</v>
      </c>
      <c r="K33" s="41">
        <v>46234</v>
      </c>
      <c r="M33" s="2">
        <v>0</v>
      </c>
    </row>
    <row r="34" customHeight="1" spans="1:13">
      <c r="A34" s="2" t="s">
        <v>396</v>
      </c>
      <c r="B34" s="2">
        <v>960</v>
      </c>
      <c r="C34" s="2" t="s">
        <v>397</v>
      </c>
      <c r="D34" s="40">
        <v>1950</v>
      </c>
      <c r="E34" s="2">
        <v>2.03</v>
      </c>
      <c r="F34" s="2">
        <v>0</v>
      </c>
      <c r="G34" s="40">
        <v>1900</v>
      </c>
      <c r="H34" s="2">
        <v>20</v>
      </c>
      <c r="I34" s="2">
        <v>0.02</v>
      </c>
      <c r="J34" s="41">
        <v>45158</v>
      </c>
      <c r="K34" s="41">
        <v>46234</v>
      </c>
      <c r="M34" s="2">
        <v>0</v>
      </c>
    </row>
    <row r="35" customHeight="1" spans="1:13">
      <c r="A35" s="2" t="s">
        <v>398</v>
      </c>
      <c r="B35" s="2">
        <v>960</v>
      </c>
      <c r="C35" s="2" t="s">
        <v>399</v>
      </c>
      <c r="D35" s="2">
        <v>925</v>
      </c>
      <c r="E35" s="2">
        <v>0.96</v>
      </c>
      <c r="F35" s="2">
        <v>950</v>
      </c>
      <c r="G35" s="2">
        <v>0</v>
      </c>
      <c r="H35" s="2">
        <v>0</v>
      </c>
      <c r="I35" s="2">
        <v>0</v>
      </c>
      <c r="J35" s="41">
        <v>45870</v>
      </c>
      <c r="K35" s="41">
        <v>46234</v>
      </c>
      <c r="M35" s="2">
        <v>0</v>
      </c>
    </row>
    <row r="36" customHeight="1" spans="1:13">
      <c r="A36" s="2" t="s">
        <v>35</v>
      </c>
      <c r="C36" s="2" t="s">
        <v>215</v>
      </c>
      <c r="D36" s="40">
        <v>44160</v>
      </c>
      <c r="E36" s="2">
        <v>2.07</v>
      </c>
      <c r="F36" s="40">
        <v>4125</v>
      </c>
      <c r="G36" s="40">
        <v>45380</v>
      </c>
      <c r="H36" s="2">
        <v>270</v>
      </c>
      <c r="I36" s="2">
        <v>0.01</v>
      </c>
      <c r="M36" s="40">
        <v>2495</v>
      </c>
    </row>
    <row r="37" customHeight="1" spans="1:13">
      <c r="D37" s="2">
        <f>D36*12</f>
        <v>529920</v>
      </c>
    </row>
    <row r="39" customHeight="1" spans="1:13">
      <c r="A39" s="2" t="s">
        <v>400</v>
      </c>
      <c r="C39" s="2" t="s">
        <v>401</v>
      </c>
      <c r="D39" s="2" t="s">
        <v>332</v>
      </c>
      <c r="F39" s="2" t="s">
        <v>402</v>
      </c>
      <c r="G39" s="2" t="s">
        <v>116</v>
      </c>
      <c r="H39" s="2" t="s">
        <v>335</v>
      </c>
      <c r="J39" s="2" t="s">
        <v>403</v>
      </c>
      <c r="K39" s="2" t="s">
        <v>404</v>
      </c>
      <c r="L39" s="2" t="s">
        <v>405</v>
      </c>
      <c r="M39" s="2" t="s">
        <v>339</v>
      </c>
    </row>
    <row r="40" customHeight="1" spans="1:13">
      <c r="C40" s="2" t="s">
        <v>406</v>
      </c>
      <c r="D40" s="2" t="s">
        <v>341</v>
      </c>
      <c r="F40" s="2" t="s">
        <v>343</v>
      </c>
      <c r="G40" s="2" t="s">
        <v>407</v>
      </c>
      <c r="J40" s="2" t="s">
        <v>408</v>
      </c>
      <c r="K40" s="2" t="s">
        <v>409</v>
      </c>
      <c r="L40" s="2" t="s">
        <v>410</v>
      </c>
    </row>
    <row r="41" customHeight="1" spans="1:13">
      <c r="A41" s="2" t="s">
        <v>345</v>
      </c>
      <c r="C41" s="40">
        <v>21300</v>
      </c>
      <c r="D41" s="40">
        <v>44160</v>
      </c>
      <c r="F41" s="40">
        <v>4125</v>
      </c>
      <c r="G41" s="40">
        <v>45380</v>
      </c>
      <c r="H41" s="2">
        <v>270</v>
      </c>
      <c r="J41" s="2">
        <v>28</v>
      </c>
      <c r="K41" s="2">
        <v>96.42</v>
      </c>
      <c r="L41" s="2">
        <v>96.05</v>
      </c>
      <c r="M41" s="40">
        <v>2495</v>
      </c>
    </row>
    <row r="42" customHeight="1" spans="1:13">
      <c r="A42" s="2" t="s">
        <v>411</v>
      </c>
      <c r="C42" s="2">
        <v>0</v>
      </c>
      <c r="D42" s="2">
        <v>0</v>
      </c>
      <c r="F42" s="2">
        <v>0</v>
      </c>
      <c r="G42" s="2">
        <v>0</v>
      </c>
      <c r="H42" s="2">
        <v>0</v>
      </c>
      <c r="J42" s="2">
        <v>0</v>
      </c>
      <c r="K42" s="2">
        <v>0</v>
      </c>
      <c r="L42" s="2">
        <v>0</v>
      </c>
      <c r="M42" s="2">
        <v>0</v>
      </c>
    </row>
    <row r="43" customHeight="1" spans="1:13">
      <c r="A43" s="2" t="s">
        <v>412</v>
      </c>
      <c r="C43" s="40">
        <v>20460</v>
      </c>
      <c r="D43" s="2">
        <v>0</v>
      </c>
      <c r="F43" s="2">
        <v>0</v>
      </c>
      <c r="G43" s="2">
        <v>0</v>
      </c>
      <c r="H43" s="2">
        <v>0</v>
      </c>
      <c r="J43" s="2">
        <v>27</v>
      </c>
      <c r="K43" s="2">
        <v>96.42</v>
      </c>
      <c r="L43" s="2">
        <v>96.05</v>
      </c>
      <c r="M43" s="2">
        <v>0</v>
      </c>
    </row>
    <row r="44" customHeight="1" spans="1:13">
      <c r="A44" s="2" t="s">
        <v>413</v>
      </c>
      <c r="C44" s="2">
        <v>0</v>
      </c>
      <c r="D44" s="2">
        <v>0</v>
      </c>
      <c r="F44" s="2">
        <v>0</v>
      </c>
      <c r="G44" s="2">
        <v>0</v>
      </c>
      <c r="H44" s="2">
        <v>0</v>
      </c>
      <c r="J44" s="2">
        <v>0</v>
      </c>
      <c r="K44" s="2">
        <v>0</v>
      </c>
      <c r="L44" s="2">
        <v>0</v>
      </c>
    </row>
    <row r="45" customHeight="1" spans="1:13">
      <c r="A45" s="2" t="s">
        <v>414</v>
      </c>
      <c r="C45" s="2">
        <v>840</v>
      </c>
      <c r="D45" s="2">
        <v>0</v>
      </c>
      <c r="F45" s="2">
        <v>0</v>
      </c>
      <c r="G45" s="2">
        <v>0</v>
      </c>
      <c r="H45" s="2">
        <v>0</v>
      </c>
      <c r="J45" s="2">
        <v>1</v>
      </c>
      <c r="K45" s="2">
        <v>3.57</v>
      </c>
      <c r="L45" s="2">
        <v>3.94</v>
      </c>
      <c r="M45" s="2">
        <v>0</v>
      </c>
    </row>
    <row r="46" customHeight="1" spans="1:13">
      <c r="A46" s="2" t="s">
        <v>415</v>
      </c>
      <c r="C46" s="40">
        <v>21300</v>
      </c>
      <c r="D46" s="40">
        <v>44160</v>
      </c>
      <c r="F46" s="40">
        <v>4125</v>
      </c>
      <c r="G46" s="40">
        <v>45380</v>
      </c>
      <c r="H46" s="2">
        <v>270</v>
      </c>
      <c r="J46" s="2">
        <v>28</v>
      </c>
      <c r="K46" s="2">
        <v>100</v>
      </c>
      <c r="L46" s="2">
        <v>100</v>
      </c>
      <c r="M46" s="40">
        <v>2495</v>
      </c>
    </row>
  </sheetData>
  <autoFilter xmlns:etc="http://www.wps.cn/officeDocument/2017/etCustomData" ref="A5:Z37" etc:filterBottomFollowUsedRange="0">
    <extLst/>
  </autoFilter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workbookViewId="0">
      <selection activeCell="G121" sqref="G121"/>
    </sheetView>
  </sheetViews>
  <sheetFormatPr defaultColWidth="14.4336283185841" defaultRowHeight="15" customHeight="1"/>
  <sheetData>
    <row r="1" customHeight="1" spans="1:2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Height="1" spans="1:26">
      <c r="A2" s="2"/>
      <c r="B2" s="1" t="str">
        <f>'Debt Refinance'!B2</f>
        <v>Address: 1718 North Sydenham Street Philadelphia, PA 19121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Height="1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Height="1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Height="1" spans="1:26">
      <c r="A5" s="2"/>
      <c r="B5" s="2" t="s">
        <v>416</v>
      </c>
      <c r="C5" s="2"/>
      <c r="D5" s="2"/>
      <c r="E5" s="2"/>
      <c r="F5" s="2"/>
      <c r="G5" s="2"/>
      <c r="H5" s="2"/>
      <c r="I5" s="22">
        <v>4000000</v>
      </c>
      <c r="J5" s="2" t="s">
        <v>417</v>
      </c>
      <c r="K5" s="23"/>
      <c r="L5" s="24"/>
      <c r="M5" s="23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Height="1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Height="1" spans="1:26">
      <c r="A7" s="2"/>
      <c r="B7" s="2" t="s">
        <v>418</v>
      </c>
      <c r="C7" s="2"/>
      <c r="D7" s="2"/>
      <c r="E7" s="2"/>
      <c r="F7" s="2"/>
      <c r="G7" s="2"/>
      <c r="H7" s="2"/>
      <c r="I7" s="25">
        <v>4200000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Height="1" spans="1:26">
      <c r="A8" s="2"/>
      <c r="B8" s="2" t="s">
        <v>419</v>
      </c>
      <c r="C8" s="2"/>
      <c r="D8" s="2"/>
      <c r="E8" s="2"/>
      <c r="F8" s="2"/>
      <c r="G8" s="2"/>
      <c r="H8" s="2"/>
      <c r="I8" s="26">
        <v>0.0325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Height="1" spans="1:26">
      <c r="A9" s="2"/>
      <c r="B9" s="2" t="s">
        <v>420</v>
      </c>
      <c r="C9" s="2"/>
      <c r="D9" s="2"/>
      <c r="E9" s="2"/>
      <c r="F9" s="2"/>
      <c r="G9" s="2"/>
      <c r="H9" s="2"/>
      <c r="I9" s="27">
        <f>I8/12</f>
        <v>0.00270833333333333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Height="1" spans="1:26">
      <c r="A10" s="2"/>
      <c r="B10" s="2" t="s">
        <v>421</v>
      </c>
      <c r="C10" s="2"/>
      <c r="D10" s="2"/>
      <c r="E10" s="2"/>
      <c r="F10" s="2"/>
      <c r="G10" s="2"/>
      <c r="H10" s="2"/>
      <c r="I10" s="28">
        <f>I9/(1-(1/(1+I9)^I16))</f>
        <v>0.00435206319072383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Height="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Height="1" spans="1:26">
      <c r="A12" s="2"/>
      <c r="B12" s="2" t="s">
        <v>422</v>
      </c>
      <c r="C12" s="2"/>
      <c r="D12" s="2"/>
      <c r="E12" s="2"/>
      <c r="F12" s="2"/>
      <c r="G12" s="2"/>
      <c r="H12" s="2"/>
      <c r="I12" s="17">
        <v>44136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Height="1" spans="1:26">
      <c r="A13" s="2"/>
      <c r="B13" s="2" t="s">
        <v>423</v>
      </c>
      <c r="C13" s="2"/>
      <c r="D13" s="2"/>
      <c r="E13" s="2"/>
      <c r="F13" s="2"/>
      <c r="G13" s="2"/>
      <c r="H13" s="2"/>
      <c r="I13" s="17">
        <v>19815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Height="1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Height="1" spans="1:26">
      <c r="A15" s="2"/>
      <c r="B15" s="2" t="s">
        <v>424</v>
      </c>
      <c r="C15" s="2"/>
      <c r="D15" s="2"/>
      <c r="E15" s="2"/>
      <c r="F15" s="2"/>
      <c r="G15" s="2"/>
      <c r="H15" s="2"/>
      <c r="I15" s="29">
        <v>30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Height="1" spans="1:26">
      <c r="A16" s="2"/>
      <c r="B16" s="2" t="s">
        <v>425</v>
      </c>
      <c r="C16" s="2"/>
      <c r="D16" s="2"/>
      <c r="E16" s="2"/>
      <c r="F16" s="2"/>
      <c r="G16" s="2"/>
      <c r="H16" s="2"/>
      <c r="I16" s="28">
        <f>I15*12</f>
        <v>360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Height="1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Height="1" spans="1:26">
      <c r="A18" s="2"/>
      <c r="B18" s="11" t="s">
        <v>426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Height="1" spans="1:26">
      <c r="A19" s="2"/>
      <c r="B19" s="2" t="s">
        <v>427</v>
      </c>
      <c r="C19" s="2"/>
      <c r="D19" s="2"/>
      <c r="E19" s="2"/>
      <c r="F19" s="2"/>
      <c r="G19" s="2"/>
      <c r="H19" s="2"/>
      <c r="I19" s="30">
        <v>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Height="1" spans="1:26">
      <c r="A20" s="2"/>
      <c r="B20" s="2" t="s">
        <v>428</v>
      </c>
      <c r="C20" s="2"/>
      <c r="D20" s="2"/>
      <c r="E20" s="2"/>
      <c r="F20" s="2"/>
      <c r="G20" s="2"/>
      <c r="H20" s="2"/>
      <c r="I20" s="27">
        <f>I19/12</f>
        <v>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Height="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Height="1" spans="1:26">
      <c r="A22" s="2"/>
      <c r="B22" s="2" t="s">
        <v>429</v>
      </c>
      <c r="C22" s="2"/>
      <c r="D22" s="2"/>
      <c r="E22" s="2"/>
      <c r="F22" s="2"/>
      <c r="G22" s="2"/>
      <c r="H22" s="2"/>
      <c r="I22" s="31">
        <f>E26*12</f>
        <v>219343.984812481</v>
      </c>
      <c r="J22" s="3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Height="1" spans="1:26">
      <c r="A23" s="2"/>
      <c r="B23" s="2" t="s">
        <v>430</v>
      </c>
      <c r="C23" s="2"/>
      <c r="D23" s="2"/>
      <c r="E23" s="2"/>
      <c r="F23" s="2"/>
      <c r="G23" s="2"/>
      <c r="H23" s="2"/>
      <c r="I23" s="31">
        <f>I7*I8</f>
        <v>136500</v>
      </c>
      <c r="J23" s="1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Height="1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Height="1" spans="1:26">
      <c r="A25" s="2"/>
      <c r="B25" s="33" t="s">
        <v>431</v>
      </c>
      <c r="C25" s="33" t="s">
        <v>432</v>
      </c>
      <c r="D25" s="33" t="s">
        <v>433</v>
      </c>
      <c r="E25" s="33" t="s">
        <v>434</v>
      </c>
      <c r="F25" s="33" t="s">
        <v>435</v>
      </c>
      <c r="G25" s="33" t="s">
        <v>436</v>
      </c>
      <c r="H25" s="33" t="s">
        <v>437</v>
      </c>
      <c r="I25" s="33" t="s">
        <v>438</v>
      </c>
      <c r="J25" s="33" t="s">
        <v>439</v>
      </c>
      <c r="K25" s="33" t="s">
        <v>440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Height="1" spans="1:26">
      <c r="A26" s="2"/>
      <c r="B26" s="28">
        <v>1</v>
      </c>
      <c r="C26" s="17">
        <v>44136</v>
      </c>
      <c r="D26" s="32">
        <f>I7</f>
        <v>4200000</v>
      </c>
      <c r="E26" s="32">
        <f t="shared" ref="E26:E325" si="0">$D$26*$I$10</f>
        <v>18278.6654010401</v>
      </c>
      <c r="F26" s="32">
        <f t="shared" ref="F26:F325" si="1">D26*$I$9</f>
        <v>11375</v>
      </c>
      <c r="G26" s="32">
        <f t="shared" ref="G26:G325" si="2">E26-F26</f>
        <v>6903.66540104007</v>
      </c>
      <c r="H26" s="32">
        <f t="shared" ref="H26:H325" si="3">D26-G26</f>
        <v>4193096.33459896</v>
      </c>
      <c r="I26" s="32">
        <f t="shared" ref="I26:I325" si="4">$I$20*D26</f>
        <v>0</v>
      </c>
      <c r="J26" s="32">
        <f t="shared" ref="J26:J325" si="5">E26+I26</f>
        <v>18278.6654010401</v>
      </c>
      <c r="K26" s="32">
        <f>SUM(I26:I37)</f>
        <v>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Height="1" spans="1:26">
      <c r="A27" s="2"/>
      <c r="B27" s="28">
        <f t="shared" ref="B27:B325" si="6">B26+1</f>
        <v>2</v>
      </c>
      <c r="C27" s="17">
        <v>44166</v>
      </c>
      <c r="D27" s="32">
        <f t="shared" ref="D27:D325" si="7">H26</f>
        <v>4193096.33459896</v>
      </c>
      <c r="E27" s="32">
        <f t="shared" si="0"/>
        <v>18278.6654010401</v>
      </c>
      <c r="F27" s="32">
        <f t="shared" si="1"/>
        <v>11356.3025728722</v>
      </c>
      <c r="G27" s="32">
        <f t="shared" si="2"/>
        <v>6922.36282816788</v>
      </c>
      <c r="H27" s="32">
        <f t="shared" si="3"/>
        <v>4186173.97177079</v>
      </c>
      <c r="I27" s="32">
        <f t="shared" si="4"/>
        <v>0</v>
      </c>
      <c r="J27" s="32">
        <f t="shared" si="5"/>
        <v>18278.6654010401</v>
      </c>
      <c r="K27" s="18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Height="1" spans="1:26">
      <c r="A28" s="2"/>
      <c r="B28" s="28">
        <f t="shared" si="6"/>
        <v>3</v>
      </c>
      <c r="C28" s="17">
        <v>44197</v>
      </c>
      <c r="D28" s="32">
        <f t="shared" si="7"/>
        <v>4186173.97177079</v>
      </c>
      <c r="E28" s="32">
        <f t="shared" si="0"/>
        <v>18278.6654010401</v>
      </c>
      <c r="F28" s="32">
        <f t="shared" si="1"/>
        <v>11337.5545068792</v>
      </c>
      <c r="G28" s="32">
        <f t="shared" si="2"/>
        <v>6941.11089416084</v>
      </c>
      <c r="H28" s="32">
        <f t="shared" si="3"/>
        <v>4179232.86087663</v>
      </c>
      <c r="I28" s="32">
        <f t="shared" si="4"/>
        <v>0</v>
      </c>
      <c r="J28" s="32">
        <f t="shared" si="5"/>
        <v>18278.6654010401</v>
      </c>
      <c r="K28" s="1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Height="1" spans="1:26">
      <c r="A29" s="2"/>
      <c r="B29" s="28">
        <f t="shared" si="6"/>
        <v>4</v>
      </c>
      <c r="C29" s="17">
        <v>44228</v>
      </c>
      <c r="D29" s="32">
        <f t="shared" si="7"/>
        <v>4179232.86087663</v>
      </c>
      <c r="E29" s="32">
        <f t="shared" si="0"/>
        <v>18278.6654010401</v>
      </c>
      <c r="F29" s="32">
        <f t="shared" si="1"/>
        <v>11318.7556648742</v>
      </c>
      <c r="G29" s="32">
        <f t="shared" si="2"/>
        <v>6959.90973616586</v>
      </c>
      <c r="H29" s="32">
        <f t="shared" si="3"/>
        <v>4172272.95114047</v>
      </c>
      <c r="I29" s="32">
        <f t="shared" si="4"/>
        <v>0</v>
      </c>
      <c r="J29" s="32">
        <f t="shared" si="5"/>
        <v>18278.6654010401</v>
      </c>
      <c r="K29" s="18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Height="1" spans="1:26">
      <c r="A30" s="2"/>
      <c r="B30" s="28">
        <f t="shared" si="6"/>
        <v>5</v>
      </c>
      <c r="C30" s="17">
        <v>44256</v>
      </c>
      <c r="D30" s="32">
        <f t="shared" si="7"/>
        <v>4172272.95114047</v>
      </c>
      <c r="E30" s="32">
        <f t="shared" si="0"/>
        <v>18278.6654010401</v>
      </c>
      <c r="F30" s="32">
        <f t="shared" si="1"/>
        <v>11299.9059093388</v>
      </c>
      <c r="G30" s="32">
        <f t="shared" si="2"/>
        <v>6978.75949170131</v>
      </c>
      <c r="H30" s="32">
        <f t="shared" si="3"/>
        <v>4165294.19164876</v>
      </c>
      <c r="I30" s="32">
        <f t="shared" si="4"/>
        <v>0</v>
      </c>
      <c r="J30" s="32">
        <f t="shared" si="5"/>
        <v>18278.6654010401</v>
      </c>
      <c r="K30" s="18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Height="1" spans="1:26">
      <c r="A31" s="2"/>
      <c r="B31" s="28">
        <f t="shared" si="6"/>
        <v>6</v>
      </c>
      <c r="C31" s="17">
        <v>44287</v>
      </c>
      <c r="D31" s="32">
        <f t="shared" si="7"/>
        <v>4165294.19164876</v>
      </c>
      <c r="E31" s="32">
        <f t="shared" si="0"/>
        <v>18278.6654010401</v>
      </c>
      <c r="F31" s="32">
        <f t="shared" si="1"/>
        <v>11281.0051023821</v>
      </c>
      <c r="G31" s="32">
        <f t="shared" si="2"/>
        <v>6997.660298658</v>
      </c>
      <c r="H31" s="32">
        <f t="shared" si="3"/>
        <v>4158296.53135011</v>
      </c>
      <c r="I31" s="32">
        <f t="shared" si="4"/>
        <v>0</v>
      </c>
      <c r="J31" s="32">
        <f t="shared" si="5"/>
        <v>18278.6654010401</v>
      </c>
      <c r="K31" s="1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Height="1" spans="1:26">
      <c r="A32" s="2"/>
      <c r="B32" s="28">
        <f t="shared" si="6"/>
        <v>7</v>
      </c>
      <c r="C32" s="17">
        <v>44317</v>
      </c>
      <c r="D32" s="32">
        <f t="shared" si="7"/>
        <v>4158296.53135011</v>
      </c>
      <c r="E32" s="32">
        <f t="shared" si="0"/>
        <v>18278.6654010401</v>
      </c>
      <c r="F32" s="32">
        <f t="shared" si="1"/>
        <v>11262.0531057399</v>
      </c>
      <c r="G32" s="32">
        <f t="shared" si="2"/>
        <v>7016.6122953002</v>
      </c>
      <c r="H32" s="32">
        <f t="shared" si="3"/>
        <v>4151279.91905481</v>
      </c>
      <c r="I32" s="32">
        <f t="shared" si="4"/>
        <v>0</v>
      </c>
      <c r="J32" s="32">
        <f t="shared" si="5"/>
        <v>18278.6654010401</v>
      </c>
      <c r="K32" s="18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Height="1" spans="1:26">
      <c r="A33" s="2"/>
      <c r="B33" s="28">
        <f t="shared" si="6"/>
        <v>8</v>
      </c>
      <c r="C33" s="17">
        <v>44348</v>
      </c>
      <c r="D33" s="32">
        <f t="shared" si="7"/>
        <v>4151279.91905481</v>
      </c>
      <c r="E33" s="32">
        <f t="shared" si="0"/>
        <v>18278.6654010401</v>
      </c>
      <c r="F33" s="32">
        <f t="shared" si="1"/>
        <v>11243.0497807734</v>
      </c>
      <c r="G33" s="32">
        <f t="shared" si="2"/>
        <v>7035.61562026664</v>
      </c>
      <c r="H33" s="32">
        <f t="shared" si="3"/>
        <v>4144244.30343454</v>
      </c>
      <c r="I33" s="32">
        <f t="shared" si="4"/>
        <v>0</v>
      </c>
      <c r="J33" s="32">
        <f t="shared" si="5"/>
        <v>18278.6654010401</v>
      </c>
      <c r="K33" s="18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Height="1" spans="1:26">
      <c r="A34" s="2"/>
      <c r="B34" s="28">
        <f t="shared" si="6"/>
        <v>9</v>
      </c>
      <c r="C34" s="17">
        <v>44378</v>
      </c>
      <c r="D34" s="32">
        <f t="shared" si="7"/>
        <v>4144244.30343454</v>
      </c>
      <c r="E34" s="32">
        <f t="shared" si="0"/>
        <v>18278.6654010401</v>
      </c>
      <c r="F34" s="32">
        <f t="shared" si="1"/>
        <v>11223.9949884685</v>
      </c>
      <c r="G34" s="32">
        <f t="shared" si="2"/>
        <v>7054.67041257152</v>
      </c>
      <c r="H34" s="32">
        <f t="shared" si="3"/>
        <v>4137189.63302197</v>
      </c>
      <c r="I34" s="32">
        <f t="shared" si="4"/>
        <v>0</v>
      </c>
      <c r="J34" s="32">
        <f t="shared" si="5"/>
        <v>18278.6654010401</v>
      </c>
      <c r="K34" s="18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Height="1" spans="1:26">
      <c r="A35" s="2"/>
      <c r="B35" s="28">
        <f t="shared" si="6"/>
        <v>10</v>
      </c>
      <c r="C35" s="17">
        <v>44409</v>
      </c>
      <c r="D35" s="32">
        <f t="shared" si="7"/>
        <v>4137189.63302197</v>
      </c>
      <c r="E35" s="32">
        <f t="shared" si="0"/>
        <v>18278.6654010401</v>
      </c>
      <c r="F35" s="32">
        <f t="shared" si="1"/>
        <v>11204.8885894345</v>
      </c>
      <c r="G35" s="32">
        <f t="shared" si="2"/>
        <v>7073.77681160557</v>
      </c>
      <c r="H35" s="32">
        <f t="shared" si="3"/>
        <v>4130115.85621036</v>
      </c>
      <c r="I35" s="32">
        <f t="shared" si="4"/>
        <v>0</v>
      </c>
      <c r="J35" s="32">
        <f t="shared" si="5"/>
        <v>18278.6654010401</v>
      </c>
      <c r="K35" s="18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Height="1" spans="1:26">
      <c r="A36" s="2"/>
      <c r="B36" s="28">
        <f t="shared" si="6"/>
        <v>11</v>
      </c>
      <c r="C36" s="17">
        <v>44440</v>
      </c>
      <c r="D36" s="32">
        <f t="shared" si="7"/>
        <v>4130115.85621036</v>
      </c>
      <c r="E36" s="32">
        <f t="shared" si="0"/>
        <v>18278.6654010401</v>
      </c>
      <c r="F36" s="32">
        <f t="shared" si="1"/>
        <v>11185.7304439031</v>
      </c>
      <c r="G36" s="32">
        <f t="shared" si="2"/>
        <v>7092.934957137</v>
      </c>
      <c r="H36" s="32">
        <f t="shared" si="3"/>
        <v>4123022.92125322</v>
      </c>
      <c r="I36" s="32">
        <f t="shared" si="4"/>
        <v>0</v>
      </c>
      <c r="J36" s="32">
        <f t="shared" si="5"/>
        <v>18278.6654010401</v>
      </c>
      <c r="K36" s="18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Height="1" spans="1:26">
      <c r="A37" s="2"/>
      <c r="B37" s="28">
        <f t="shared" si="6"/>
        <v>12</v>
      </c>
      <c r="C37" s="17">
        <v>44470</v>
      </c>
      <c r="D37" s="32">
        <f t="shared" si="7"/>
        <v>4123022.92125322</v>
      </c>
      <c r="E37" s="32">
        <f t="shared" si="0"/>
        <v>18278.6654010401</v>
      </c>
      <c r="F37" s="32">
        <f t="shared" si="1"/>
        <v>11166.5204117275</v>
      </c>
      <c r="G37" s="32">
        <f t="shared" si="2"/>
        <v>7112.14498931258</v>
      </c>
      <c r="H37" s="32">
        <f t="shared" si="3"/>
        <v>4115910.77626391</v>
      </c>
      <c r="I37" s="32">
        <f t="shared" si="4"/>
        <v>0</v>
      </c>
      <c r="J37" s="32">
        <f t="shared" si="5"/>
        <v>18278.6654010401</v>
      </c>
      <c r="K37" s="18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Height="1" spans="1:26">
      <c r="A38" s="2"/>
      <c r="B38" s="28">
        <f t="shared" si="6"/>
        <v>13</v>
      </c>
      <c r="C38" s="17">
        <v>44501</v>
      </c>
      <c r="D38" s="32">
        <f t="shared" si="7"/>
        <v>4115910.77626391</v>
      </c>
      <c r="E38" s="32">
        <f t="shared" si="0"/>
        <v>18278.6654010401</v>
      </c>
      <c r="F38" s="32">
        <f t="shared" si="1"/>
        <v>11147.2583523814</v>
      </c>
      <c r="G38" s="32">
        <f t="shared" si="2"/>
        <v>7131.40704865864</v>
      </c>
      <c r="H38" s="32">
        <f t="shared" si="3"/>
        <v>4108779.36921525</v>
      </c>
      <c r="I38" s="32">
        <f t="shared" si="4"/>
        <v>0</v>
      </c>
      <c r="J38" s="32">
        <f t="shared" si="5"/>
        <v>18278.6654010401</v>
      </c>
      <c r="K38" s="32">
        <f>SUM(I38:I49)</f>
        <v>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Height="1" spans="1:26">
      <c r="A39" s="2"/>
      <c r="B39" s="28">
        <f t="shared" si="6"/>
        <v>14</v>
      </c>
      <c r="C39" s="17">
        <v>44531</v>
      </c>
      <c r="D39" s="32">
        <f t="shared" si="7"/>
        <v>4108779.36921525</v>
      </c>
      <c r="E39" s="32">
        <f t="shared" si="0"/>
        <v>18278.6654010401</v>
      </c>
      <c r="F39" s="32">
        <f t="shared" si="1"/>
        <v>11127.944124958</v>
      </c>
      <c r="G39" s="32">
        <f t="shared" si="2"/>
        <v>7150.72127608209</v>
      </c>
      <c r="H39" s="32">
        <f t="shared" si="3"/>
        <v>4101628.64793917</v>
      </c>
      <c r="I39" s="32">
        <f t="shared" si="4"/>
        <v>0</v>
      </c>
      <c r="J39" s="32">
        <f t="shared" si="5"/>
        <v>18278.6654010401</v>
      </c>
      <c r="K39" s="18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Height="1" spans="1:26">
      <c r="A40" s="2"/>
      <c r="B40" s="28">
        <f t="shared" si="6"/>
        <v>15</v>
      </c>
      <c r="C40" s="17">
        <v>44562</v>
      </c>
      <c r="D40" s="32">
        <f t="shared" si="7"/>
        <v>4101628.64793917</v>
      </c>
      <c r="E40" s="32">
        <f t="shared" si="0"/>
        <v>18278.6654010401</v>
      </c>
      <c r="F40" s="32">
        <f t="shared" si="1"/>
        <v>11108.5775881686</v>
      </c>
      <c r="G40" s="32">
        <f t="shared" si="2"/>
        <v>7170.08781287148</v>
      </c>
      <c r="H40" s="32">
        <f t="shared" si="3"/>
        <v>4094458.5601263</v>
      </c>
      <c r="I40" s="32">
        <f t="shared" si="4"/>
        <v>0</v>
      </c>
      <c r="J40" s="32">
        <f t="shared" si="5"/>
        <v>18278.6654010401</v>
      </c>
      <c r="K40" s="1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Height="1" spans="1:26">
      <c r="A41" s="2"/>
      <c r="B41" s="28">
        <f t="shared" si="6"/>
        <v>16</v>
      </c>
      <c r="C41" s="17">
        <v>44593</v>
      </c>
      <c r="D41" s="32">
        <f t="shared" si="7"/>
        <v>4094458.5601263</v>
      </c>
      <c r="E41" s="32">
        <f t="shared" si="0"/>
        <v>18278.6654010401</v>
      </c>
      <c r="F41" s="32">
        <f t="shared" si="1"/>
        <v>11089.1586003421</v>
      </c>
      <c r="G41" s="32">
        <f t="shared" si="2"/>
        <v>7189.506800698</v>
      </c>
      <c r="H41" s="32">
        <f t="shared" si="3"/>
        <v>4087269.0533256</v>
      </c>
      <c r="I41" s="32">
        <f t="shared" si="4"/>
        <v>0</v>
      </c>
      <c r="J41" s="32">
        <f t="shared" si="5"/>
        <v>18278.6654010401</v>
      </c>
      <c r="K41" s="1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Height="1" spans="1:26">
      <c r="A42" s="19"/>
      <c r="B42" s="34">
        <f t="shared" si="6"/>
        <v>17</v>
      </c>
      <c r="C42" s="20">
        <v>44621</v>
      </c>
      <c r="D42" s="35">
        <f t="shared" si="7"/>
        <v>4087269.0533256</v>
      </c>
      <c r="E42" s="35">
        <f t="shared" si="0"/>
        <v>18278.6654010401</v>
      </c>
      <c r="F42" s="35">
        <f t="shared" si="1"/>
        <v>11069.6870194235</v>
      </c>
      <c r="G42" s="35">
        <f t="shared" si="2"/>
        <v>7208.97838161656</v>
      </c>
      <c r="H42" s="35">
        <f t="shared" si="3"/>
        <v>4080060.07494399</v>
      </c>
      <c r="I42" s="35">
        <f t="shared" si="4"/>
        <v>0</v>
      </c>
      <c r="J42" s="35">
        <f t="shared" si="5"/>
        <v>18278.6654010401</v>
      </c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customHeight="1" spans="1:26">
      <c r="A43" s="2"/>
      <c r="B43" s="28">
        <f t="shared" si="6"/>
        <v>18</v>
      </c>
      <c r="C43" s="17">
        <v>44652</v>
      </c>
      <c r="D43" s="32">
        <f t="shared" si="7"/>
        <v>4080060.07494399</v>
      </c>
      <c r="E43" s="32">
        <f t="shared" si="0"/>
        <v>18278.6654010401</v>
      </c>
      <c r="F43" s="32">
        <f t="shared" si="1"/>
        <v>11050.1627029733</v>
      </c>
      <c r="G43" s="32">
        <f t="shared" si="2"/>
        <v>7228.50269806677</v>
      </c>
      <c r="H43" s="32">
        <f t="shared" si="3"/>
        <v>4072831.57224592</v>
      </c>
      <c r="I43" s="32">
        <f t="shared" si="4"/>
        <v>0</v>
      </c>
      <c r="J43" s="32">
        <f t="shared" si="5"/>
        <v>18278.6654010401</v>
      </c>
      <c r="K43" s="1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Height="1" spans="1:26">
      <c r="A44" s="2"/>
      <c r="B44" s="28">
        <f t="shared" si="6"/>
        <v>19</v>
      </c>
      <c r="C44" s="17">
        <v>44682</v>
      </c>
      <c r="D44" s="32">
        <f t="shared" si="7"/>
        <v>4072831.57224592</v>
      </c>
      <c r="E44" s="32">
        <f t="shared" si="0"/>
        <v>18278.6654010401</v>
      </c>
      <c r="F44" s="32">
        <f t="shared" si="1"/>
        <v>11030.585508166</v>
      </c>
      <c r="G44" s="32">
        <f t="shared" si="2"/>
        <v>7248.07989287404</v>
      </c>
      <c r="H44" s="32">
        <f t="shared" si="3"/>
        <v>4065583.49235304</v>
      </c>
      <c r="I44" s="32">
        <f t="shared" si="4"/>
        <v>0</v>
      </c>
      <c r="J44" s="32">
        <f t="shared" si="5"/>
        <v>18278.6654010401</v>
      </c>
      <c r="K44" s="1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Height="1" spans="1:26">
      <c r="A45" s="2"/>
      <c r="B45" s="28">
        <f t="shared" si="6"/>
        <v>20</v>
      </c>
      <c r="C45" s="17">
        <v>44713</v>
      </c>
      <c r="D45" s="32">
        <f t="shared" si="7"/>
        <v>4065583.49235304</v>
      </c>
      <c r="E45" s="32">
        <f t="shared" si="0"/>
        <v>18278.6654010401</v>
      </c>
      <c r="F45" s="32">
        <f t="shared" si="1"/>
        <v>11010.9552917895</v>
      </c>
      <c r="G45" s="32">
        <f t="shared" si="2"/>
        <v>7267.71010925057</v>
      </c>
      <c r="H45" s="32">
        <f t="shared" si="3"/>
        <v>4058315.78224379</v>
      </c>
      <c r="I45" s="32">
        <f t="shared" si="4"/>
        <v>0</v>
      </c>
      <c r="J45" s="32">
        <f t="shared" si="5"/>
        <v>18278.6654010401</v>
      </c>
      <c r="K45" s="1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Height="1" spans="1:26">
      <c r="A46" s="2"/>
      <c r="B46" s="28">
        <f t="shared" si="6"/>
        <v>21</v>
      </c>
      <c r="C46" s="17">
        <v>44743</v>
      </c>
      <c r="D46" s="32">
        <f t="shared" si="7"/>
        <v>4058315.78224379</v>
      </c>
      <c r="E46" s="32">
        <f t="shared" si="0"/>
        <v>18278.6654010401</v>
      </c>
      <c r="F46" s="32">
        <f t="shared" si="1"/>
        <v>10991.2719102436</v>
      </c>
      <c r="G46" s="32">
        <f t="shared" si="2"/>
        <v>7287.39349079646</v>
      </c>
      <c r="H46" s="32">
        <f t="shared" si="3"/>
        <v>4051028.388753</v>
      </c>
      <c r="I46" s="32">
        <f t="shared" si="4"/>
        <v>0</v>
      </c>
      <c r="J46" s="32">
        <f t="shared" si="5"/>
        <v>18278.6654010401</v>
      </c>
      <c r="K46" s="1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Height="1" spans="1:26">
      <c r="A47" s="2"/>
      <c r="B47" s="28">
        <f t="shared" si="6"/>
        <v>22</v>
      </c>
      <c r="C47" s="17">
        <v>44774</v>
      </c>
      <c r="D47" s="32">
        <f t="shared" si="7"/>
        <v>4051028.388753</v>
      </c>
      <c r="E47" s="32">
        <f t="shared" si="0"/>
        <v>18278.6654010401</v>
      </c>
      <c r="F47" s="32">
        <f t="shared" si="1"/>
        <v>10971.5352195394</v>
      </c>
      <c r="G47" s="32">
        <f t="shared" si="2"/>
        <v>7307.1301815007</v>
      </c>
      <c r="H47" s="32">
        <f t="shared" si="3"/>
        <v>4043721.2585715</v>
      </c>
      <c r="I47" s="32">
        <f t="shared" si="4"/>
        <v>0</v>
      </c>
      <c r="J47" s="32">
        <f t="shared" si="5"/>
        <v>18278.6654010401</v>
      </c>
      <c r="K47" s="1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Height="1" spans="1:26">
      <c r="A48" s="2"/>
      <c r="B48" s="28">
        <f t="shared" si="6"/>
        <v>23</v>
      </c>
      <c r="C48" s="17">
        <v>44805</v>
      </c>
      <c r="D48" s="32">
        <f t="shared" si="7"/>
        <v>4043721.2585715</v>
      </c>
      <c r="E48" s="32">
        <f t="shared" si="0"/>
        <v>18278.6654010401</v>
      </c>
      <c r="F48" s="32">
        <f t="shared" si="1"/>
        <v>10951.7450752978</v>
      </c>
      <c r="G48" s="32">
        <f t="shared" si="2"/>
        <v>7326.92032574226</v>
      </c>
      <c r="H48" s="32">
        <f t="shared" si="3"/>
        <v>4036394.33824575</v>
      </c>
      <c r="I48" s="32">
        <f t="shared" si="4"/>
        <v>0</v>
      </c>
      <c r="J48" s="32">
        <f t="shared" si="5"/>
        <v>18278.6654010401</v>
      </c>
      <c r="K48" s="1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Height="1" spans="1:26">
      <c r="A49" s="2"/>
      <c r="B49" s="28">
        <f t="shared" si="6"/>
        <v>24</v>
      </c>
      <c r="C49" s="17">
        <v>44835</v>
      </c>
      <c r="D49" s="32">
        <f t="shared" si="7"/>
        <v>4036394.33824575</v>
      </c>
      <c r="E49" s="32">
        <f t="shared" si="0"/>
        <v>18278.6654010401</v>
      </c>
      <c r="F49" s="32">
        <f t="shared" si="1"/>
        <v>10931.9013327489</v>
      </c>
      <c r="G49" s="32">
        <f t="shared" si="2"/>
        <v>7346.76406829115</v>
      </c>
      <c r="H49" s="32">
        <f t="shared" si="3"/>
        <v>4029047.57417746</v>
      </c>
      <c r="I49" s="32">
        <f t="shared" si="4"/>
        <v>0</v>
      </c>
      <c r="J49" s="32">
        <f t="shared" si="5"/>
        <v>18278.6654010401</v>
      </c>
      <c r="K49" s="1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Height="1" spans="1:26">
      <c r="A50" s="2"/>
      <c r="B50" s="28">
        <f t="shared" si="6"/>
        <v>25</v>
      </c>
      <c r="C50" s="17">
        <v>44866</v>
      </c>
      <c r="D50" s="32">
        <f t="shared" si="7"/>
        <v>4029047.57417746</v>
      </c>
      <c r="E50" s="32">
        <f t="shared" si="0"/>
        <v>18278.6654010401</v>
      </c>
      <c r="F50" s="32">
        <f t="shared" si="1"/>
        <v>10912.0038467306</v>
      </c>
      <c r="G50" s="32">
        <f t="shared" si="2"/>
        <v>7366.66155430944</v>
      </c>
      <c r="H50" s="32">
        <f t="shared" si="3"/>
        <v>4021680.91262315</v>
      </c>
      <c r="I50" s="32">
        <f t="shared" si="4"/>
        <v>0</v>
      </c>
      <c r="J50" s="32">
        <f t="shared" si="5"/>
        <v>18278.6654010401</v>
      </c>
      <c r="K50" s="32">
        <f>SUM(I50:I61)</f>
        <v>0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Height="1" spans="1:26">
      <c r="A51" s="2"/>
      <c r="B51" s="28">
        <f t="shared" si="6"/>
        <v>26</v>
      </c>
      <c r="C51" s="17">
        <v>44896</v>
      </c>
      <c r="D51" s="32">
        <f t="shared" si="7"/>
        <v>4021680.91262315</v>
      </c>
      <c r="E51" s="32">
        <f t="shared" si="0"/>
        <v>18278.6654010401</v>
      </c>
      <c r="F51" s="32">
        <f t="shared" si="1"/>
        <v>10892.0524716877</v>
      </c>
      <c r="G51" s="32">
        <f t="shared" si="2"/>
        <v>7386.61292935236</v>
      </c>
      <c r="H51" s="32">
        <f t="shared" si="3"/>
        <v>4014294.2996938</v>
      </c>
      <c r="I51" s="32">
        <f t="shared" si="4"/>
        <v>0</v>
      </c>
      <c r="J51" s="32">
        <f t="shared" si="5"/>
        <v>18278.6654010401</v>
      </c>
      <c r="K51" s="1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Height="1" spans="1:26">
      <c r="A52" s="2"/>
      <c r="B52" s="28">
        <f t="shared" si="6"/>
        <v>27</v>
      </c>
      <c r="C52" s="17">
        <v>44927</v>
      </c>
      <c r="D52" s="32">
        <f t="shared" si="7"/>
        <v>4014294.2996938</v>
      </c>
      <c r="E52" s="32">
        <f t="shared" si="0"/>
        <v>18278.6654010401</v>
      </c>
      <c r="F52" s="32">
        <f t="shared" si="1"/>
        <v>10872.0470616707</v>
      </c>
      <c r="G52" s="32">
        <f t="shared" si="2"/>
        <v>7406.61833936935</v>
      </c>
      <c r="H52" s="32">
        <f t="shared" si="3"/>
        <v>4006887.68135443</v>
      </c>
      <c r="I52" s="32">
        <f t="shared" si="4"/>
        <v>0</v>
      </c>
      <c r="J52" s="32">
        <f t="shared" si="5"/>
        <v>18278.6654010401</v>
      </c>
      <c r="K52" s="1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Height="1" spans="1:26">
      <c r="A53" s="2"/>
      <c r="B53" s="28">
        <f t="shared" si="6"/>
        <v>28</v>
      </c>
      <c r="C53" s="17">
        <v>44958</v>
      </c>
      <c r="D53" s="32">
        <f t="shared" si="7"/>
        <v>4006887.68135443</v>
      </c>
      <c r="E53" s="32">
        <f t="shared" si="0"/>
        <v>18278.6654010401</v>
      </c>
      <c r="F53" s="32">
        <f t="shared" si="1"/>
        <v>10851.9874703349</v>
      </c>
      <c r="G53" s="32">
        <f t="shared" si="2"/>
        <v>7426.67793070515</v>
      </c>
      <c r="H53" s="32">
        <f t="shared" si="3"/>
        <v>3999461.00342373</v>
      </c>
      <c r="I53" s="32">
        <f t="shared" si="4"/>
        <v>0</v>
      </c>
      <c r="J53" s="32">
        <f t="shared" si="5"/>
        <v>18278.6654010401</v>
      </c>
      <c r="K53" s="1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Height="1" spans="1:26">
      <c r="A54" s="2"/>
      <c r="B54" s="28">
        <f t="shared" si="6"/>
        <v>29</v>
      </c>
      <c r="C54" s="17">
        <v>44986</v>
      </c>
      <c r="D54" s="32">
        <f t="shared" si="7"/>
        <v>3999461.00342373</v>
      </c>
      <c r="E54" s="32">
        <f t="shared" si="0"/>
        <v>18278.6654010401</v>
      </c>
      <c r="F54" s="32">
        <f t="shared" si="1"/>
        <v>10831.8735509393</v>
      </c>
      <c r="G54" s="32">
        <f t="shared" si="2"/>
        <v>7446.79185010081</v>
      </c>
      <c r="H54" s="32">
        <f t="shared" si="3"/>
        <v>3992014.21157363</v>
      </c>
      <c r="I54" s="32">
        <f t="shared" si="4"/>
        <v>0</v>
      </c>
      <c r="J54" s="32">
        <f t="shared" si="5"/>
        <v>18278.6654010401</v>
      </c>
      <c r="K54" s="1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Height="1" spans="1:26">
      <c r="A55" s="2"/>
      <c r="B55" s="28">
        <f t="shared" si="6"/>
        <v>30</v>
      </c>
      <c r="C55" s="17">
        <v>45017</v>
      </c>
      <c r="D55" s="32">
        <f t="shared" si="7"/>
        <v>3992014.21157363</v>
      </c>
      <c r="E55" s="32">
        <f t="shared" si="0"/>
        <v>18278.6654010401</v>
      </c>
      <c r="F55" s="32">
        <f t="shared" si="1"/>
        <v>10811.7051563452</v>
      </c>
      <c r="G55" s="32">
        <f t="shared" si="2"/>
        <v>7466.96024469483</v>
      </c>
      <c r="H55" s="32">
        <f t="shared" si="3"/>
        <v>3984547.25132893</v>
      </c>
      <c r="I55" s="32">
        <f t="shared" si="4"/>
        <v>0</v>
      </c>
      <c r="J55" s="32">
        <f t="shared" si="5"/>
        <v>18278.6654010401</v>
      </c>
      <c r="K55" s="1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Height="1" spans="1:26">
      <c r="A56" s="2"/>
      <c r="B56" s="28">
        <f t="shared" si="6"/>
        <v>31</v>
      </c>
      <c r="C56" s="17">
        <v>45047</v>
      </c>
      <c r="D56" s="32">
        <f t="shared" si="7"/>
        <v>3984547.25132893</v>
      </c>
      <c r="E56" s="32">
        <f t="shared" si="0"/>
        <v>18278.6654010401</v>
      </c>
      <c r="F56" s="32">
        <f t="shared" si="1"/>
        <v>10791.4821390159</v>
      </c>
      <c r="G56" s="32">
        <f t="shared" si="2"/>
        <v>7487.18326202421</v>
      </c>
      <c r="H56" s="32">
        <f t="shared" si="3"/>
        <v>3977060.06806691</v>
      </c>
      <c r="I56" s="32">
        <f t="shared" si="4"/>
        <v>0</v>
      </c>
      <c r="J56" s="32">
        <f t="shared" si="5"/>
        <v>18278.6654010401</v>
      </c>
      <c r="K56" s="1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Height="1" spans="1:26">
      <c r="A57" s="2"/>
      <c r="B57" s="28">
        <f t="shared" si="6"/>
        <v>32</v>
      </c>
      <c r="C57" s="17">
        <v>45078</v>
      </c>
      <c r="D57" s="32">
        <f t="shared" si="7"/>
        <v>3977060.06806691</v>
      </c>
      <c r="E57" s="32">
        <f t="shared" si="0"/>
        <v>18278.6654010401</v>
      </c>
      <c r="F57" s="32">
        <f t="shared" si="1"/>
        <v>10771.2043510145</v>
      </c>
      <c r="G57" s="32">
        <f t="shared" si="2"/>
        <v>7507.46105002553</v>
      </c>
      <c r="H57" s="32">
        <f t="shared" si="3"/>
        <v>3969552.60701688</v>
      </c>
      <c r="I57" s="32">
        <f t="shared" si="4"/>
        <v>0</v>
      </c>
      <c r="J57" s="32">
        <f t="shared" si="5"/>
        <v>18278.6654010401</v>
      </c>
      <c r="K57" s="1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Height="1" spans="1:26">
      <c r="A58" s="2"/>
      <c r="B58" s="28">
        <f t="shared" si="6"/>
        <v>33</v>
      </c>
      <c r="C58" s="17">
        <v>45108</v>
      </c>
      <c r="D58" s="32">
        <f t="shared" si="7"/>
        <v>3969552.60701688</v>
      </c>
      <c r="E58" s="32">
        <f t="shared" si="0"/>
        <v>18278.6654010401</v>
      </c>
      <c r="F58" s="32">
        <f t="shared" si="1"/>
        <v>10750.8716440041</v>
      </c>
      <c r="G58" s="32">
        <f t="shared" si="2"/>
        <v>7527.79375703601</v>
      </c>
      <c r="H58" s="32">
        <f t="shared" si="3"/>
        <v>3962024.81325985</v>
      </c>
      <c r="I58" s="32">
        <f t="shared" si="4"/>
        <v>0</v>
      </c>
      <c r="J58" s="32">
        <f t="shared" si="5"/>
        <v>18278.6654010401</v>
      </c>
      <c r="K58" s="1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Height="1" spans="1:26">
      <c r="A59" s="2"/>
      <c r="B59" s="28">
        <f t="shared" si="6"/>
        <v>34</v>
      </c>
      <c r="C59" s="17">
        <v>45139</v>
      </c>
      <c r="D59" s="32">
        <f t="shared" si="7"/>
        <v>3962024.81325985</v>
      </c>
      <c r="E59" s="32">
        <f t="shared" si="0"/>
        <v>18278.6654010401</v>
      </c>
      <c r="F59" s="32">
        <f t="shared" si="1"/>
        <v>10730.4838692454</v>
      </c>
      <c r="G59" s="32">
        <f t="shared" si="2"/>
        <v>7548.18153179465</v>
      </c>
      <c r="H59" s="32">
        <f t="shared" si="3"/>
        <v>3954476.63172805</v>
      </c>
      <c r="I59" s="32">
        <f t="shared" si="4"/>
        <v>0</v>
      </c>
      <c r="J59" s="32">
        <f t="shared" si="5"/>
        <v>18278.6654010401</v>
      </c>
      <c r="K59" s="1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Height="1" spans="1:26">
      <c r="A60" s="2"/>
      <c r="B60" s="28">
        <f t="shared" si="6"/>
        <v>35</v>
      </c>
      <c r="C60" s="17">
        <v>45170</v>
      </c>
      <c r="D60" s="32">
        <f t="shared" si="7"/>
        <v>3954476.63172805</v>
      </c>
      <c r="E60" s="32">
        <f t="shared" si="0"/>
        <v>18278.6654010401</v>
      </c>
      <c r="F60" s="32">
        <f t="shared" si="1"/>
        <v>10710.0408775968</v>
      </c>
      <c r="G60" s="32">
        <f t="shared" si="2"/>
        <v>7568.62452344326</v>
      </c>
      <c r="H60" s="32">
        <f t="shared" si="3"/>
        <v>3946908.00720461</v>
      </c>
      <c r="I60" s="32">
        <f t="shared" si="4"/>
        <v>0</v>
      </c>
      <c r="J60" s="32">
        <f t="shared" si="5"/>
        <v>18278.6654010401</v>
      </c>
      <c r="K60" s="18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Height="1" spans="1:26">
      <c r="A61" s="2"/>
      <c r="B61" s="28">
        <f t="shared" si="6"/>
        <v>36</v>
      </c>
      <c r="C61" s="17">
        <v>45200</v>
      </c>
      <c r="D61" s="32">
        <f t="shared" si="7"/>
        <v>3946908.00720461</v>
      </c>
      <c r="E61" s="32">
        <f t="shared" si="0"/>
        <v>18278.6654010401</v>
      </c>
      <c r="F61" s="32">
        <f t="shared" si="1"/>
        <v>10689.5425195125</v>
      </c>
      <c r="G61" s="32">
        <f t="shared" si="2"/>
        <v>7589.12288152759</v>
      </c>
      <c r="H61" s="32">
        <f t="shared" si="3"/>
        <v>3939318.88432308</v>
      </c>
      <c r="I61" s="32">
        <f t="shared" si="4"/>
        <v>0</v>
      </c>
      <c r="J61" s="32">
        <f t="shared" si="5"/>
        <v>18278.6654010401</v>
      </c>
      <c r="K61" s="18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Height="1" spans="1:26">
      <c r="A62" s="2"/>
      <c r="B62" s="28">
        <f t="shared" si="6"/>
        <v>37</v>
      </c>
      <c r="C62" s="17">
        <v>45231</v>
      </c>
      <c r="D62" s="32">
        <f t="shared" si="7"/>
        <v>3939318.88432308</v>
      </c>
      <c r="E62" s="32">
        <f t="shared" si="0"/>
        <v>18278.6654010401</v>
      </c>
      <c r="F62" s="32">
        <f t="shared" si="1"/>
        <v>10668.9886450417</v>
      </c>
      <c r="G62" s="32">
        <f t="shared" si="2"/>
        <v>7609.67675599839</v>
      </c>
      <c r="H62" s="32">
        <f t="shared" si="3"/>
        <v>3931709.20756708</v>
      </c>
      <c r="I62" s="32">
        <f t="shared" si="4"/>
        <v>0</v>
      </c>
      <c r="J62" s="32">
        <f t="shared" si="5"/>
        <v>18278.6654010401</v>
      </c>
      <c r="K62" s="32">
        <f>SUM(I62:I73)</f>
        <v>0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Height="1" spans="1:26">
      <c r="A63" s="2"/>
      <c r="B63" s="28">
        <f t="shared" si="6"/>
        <v>38</v>
      </c>
      <c r="C63" s="17">
        <v>45261</v>
      </c>
      <c r="D63" s="32">
        <f t="shared" si="7"/>
        <v>3931709.20756708</v>
      </c>
      <c r="E63" s="32">
        <f t="shared" si="0"/>
        <v>18278.6654010401</v>
      </c>
      <c r="F63" s="32">
        <f t="shared" si="1"/>
        <v>10648.3791038275</v>
      </c>
      <c r="G63" s="32">
        <f t="shared" si="2"/>
        <v>7630.28629721255</v>
      </c>
      <c r="H63" s="32">
        <f t="shared" si="3"/>
        <v>3924078.92126987</v>
      </c>
      <c r="I63" s="32">
        <f t="shared" si="4"/>
        <v>0</v>
      </c>
      <c r="J63" s="32">
        <f t="shared" si="5"/>
        <v>18278.6654010401</v>
      </c>
      <c r="K63" s="18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Height="1" spans="1:26">
      <c r="A64" s="2"/>
      <c r="B64" s="28">
        <f t="shared" si="6"/>
        <v>39</v>
      </c>
      <c r="C64" s="17">
        <v>45292</v>
      </c>
      <c r="D64" s="32">
        <f t="shared" si="7"/>
        <v>3924078.92126987</v>
      </c>
      <c r="E64" s="32">
        <f t="shared" si="0"/>
        <v>18278.6654010401</v>
      </c>
      <c r="F64" s="32">
        <f t="shared" si="1"/>
        <v>10627.7137451059</v>
      </c>
      <c r="G64" s="32">
        <f t="shared" si="2"/>
        <v>7650.95165593417</v>
      </c>
      <c r="H64" s="32">
        <f t="shared" si="3"/>
        <v>3916427.96961394</v>
      </c>
      <c r="I64" s="32">
        <f t="shared" si="4"/>
        <v>0</v>
      </c>
      <c r="J64" s="32">
        <f t="shared" si="5"/>
        <v>18278.6654010401</v>
      </c>
      <c r="K64" s="18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Height="1" spans="1:26">
      <c r="A65" s="2"/>
      <c r="B65" s="28">
        <f t="shared" si="6"/>
        <v>40</v>
      </c>
      <c r="C65" s="17">
        <v>45323</v>
      </c>
      <c r="D65" s="32">
        <f t="shared" si="7"/>
        <v>3916427.96961394</v>
      </c>
      <c r="E65" s="32">
        <f t="shared" si="0"/>
        <v>18278.6654010401</v>
      </c>
      <c r="F65" s="32">
        <f t="shared" si="1"/>
        <v>10606.9924177044</v>
      </c>
      <c r="G65" s="32">
        <f t="shared" si="2"/>
        <v>7671.67298333566</v>
      </c>
      <c r="H65" s="32">
        <f t="shared" si="3"/>
        <v>3908756.2966306</v>
      </c>
      <c r="I65" s="32">
        <f t="shared" si="4"/>
        <v>0</v>
      </c>
      <c r="J65" s="32">
        <f t="shared" si="5"/>
        <v>18278.6654010401</v>
      </c>
      <c r="K65" s="18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Height="1" spans="1:26">
      <c r="A66" s="2"/>
      <c r="B66" s="28">
        <f t="shared" si="6"/>
        <v>41</v>
      </c>
      <c r="C66" s="17">
        <v>45352</v>
      </c>
      <c r="D66" s="32">
        <f t="shared" si="7"/>
        <v>3908756.2966306</v>
      </c>
      <c r="E66" s="32">
        <f t="shared" si="0"/>
        <v>18278.6654010401</v>
      </c>
      <c r="F66" s="32">
        <f t="shared" si="1"/>
        <v>10586.2149700412</v>
      </c>
      <c r="G66" s="32">
        <f t="shared" si="2"/>
        <v>7692.45043099886</v>
      </c>
      <c r="H66" s="32">
        <f t="shared" si="3"/>
        <v>3901063.8461996</v>
      </c>
      <c r="I66" s="32">
        <f t="shared" si="4"/>
        <v>0</v>
      </c>
      <c r="J66" s="32">
        <f t="shared" si="5"/>
        <v>18278.6654010401</v>
      </c>
      <c r="K66" s="18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Height="1" spans="1:26">
      <c r="A67" s="2"/>
      <c r="B67" s="28">
        <f t="shared" si="6"/>
        <v>42</v>
      </c>
      <c r="C67" s="17">
        <v>45383</v>
      </c>
      <c r="D67" s="32">
        <f t="shared" si="7"/>
        <v>3901063.8461996</v>
      </c>
      <c r="E67" s="32">
        <f t="shared" si="0"/>
        <v>18278.6654010401</v>
      </c>
      <c r="F67" s="32">
        <f t="shared" si="1"/>
        <v>10565.3812501239</v>
      </c>
      <c r="G67" s="32">
        <f t="shared" si="2"/>
        <v>7713.28415091615</v>
      </c>
      <c r="H67" s="32">
        <f t="shared" si="3"/>
        <v>3893350.56204868</v>
      </c>
      <c r="I67" s="32">
        <f t="shared" si="4"/>
        <v>0</v>
      </c>
      <c r="J67" s="32">
        <f t="shared" si="5"/>
        <v>18278.6654010401</v>
      </c>
      <c r="K67" s="18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Height="1" spans="1:26">
      <c r="A68" s="2"/>
      <c r="B68" s="28">
        <f t="shared" si="6"/>
        <v>43</v>
      </c>
      <c r="C68" s="17">
        <v>45413</v>
      </c>
      <c r="D68" s="32">
        <f t="shared" si="7"/>
        <v>3893350.56204868</v>
      </c>
      <c r="E68" s="32">
        <f t="shared" si="0"/>
        <v>18278.6654010401</v>
      </c>
      <c r="F68" s="32">
        <f t="shared" si="1"/>
        <v>10544.4911055485</v>
      </c>
      <c r="G68" s="32">
        <f t="shared" si="2"/>
        <v>7734.17429549155</v>
      </c>
      <c r="H68" s="32">
        <f t="shared" si="3"/>
        <v>3885616.38775319</v>
      </c>
      <c r="I68" s="32">
        <f t="shared" si="4"/>
        <v>0</v>
      </c>
      <c r="J68" s="32">
        <f t="shared" si="5"/>
        <v>18278.6654010401</v>
      </c>
      <c r="K68" s="18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Height="1" spans="1:26">
      <c r="A69" s="2"/>
      <c r="B69" s="28">
        <f t="shared" si="6"/>
        <v>44</v>
      </c>
      <c r="C69" s="17">
        <v>45444</v>
      </c>
      <c r="D69" s="32">
        <f t="shared" si="7"/>
        <v>3885616.38775319</v>
      </c>
      <c r="E69" s="32">
        <f t="shared" si="0"/>
        <v>18278.6654010401</v>
      </c>
      <c r="F69" s="32">
        <f t="shared" si="1"/>
        <v>10523.5443834982</v>
      </c>
      <c r="G69" s="32">
        <f t="shared" si="2"/>
        <v>7755.12101754184</v>
      </c>
      <c r="H69" s="32">
        <f t="shared" si="3"/>
        <v>3877861.26673565</v>
      </c>
      <c r="I69" s="32">
        <f t="shared" si="4"/>
        <v>0</v>
      </c>
      <c r="J69" s="32">
        <f t="shared" si="5"/>
        <v>18278.6654010401</v>
      </c>
      <c r="K69" s="18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Height="1" spans="1:26">
      <c r="A70" s="2"/>
      <c r="B70" s="28">
        <f t="shared" si="6"/>
        <v>45</v>
      </c>
      <c r="C70" s="17">
        <v>45474</v>
      </c>
      <c r="D70" s="32">
        <f t="shared" si="7"/>
        <v>3877861.26673565</v>
      </c>
      <c r="E70" s="32">
        <f t="shared" si="0"/>
        <v>18278.6654010401</v>
      </c>
      <c r="F70" s="32">
        <f t="shared" si="1"/>
        <v>10502.5409307424</v>
      </c>
      <c r="G70" s="32">
        <f t="shared" si="2"/>
        <v>7776.12447029768</v>
      </c>
      <c r="H70" s="32">
        <f t="shared" si="3"/>
        <v>3870085.14226535</v>
      </c>
      <c r="I70" s="32">
        <f t="shared" si="4"/>
        <v>0</v>
      </c>
      <c r="J70" s="32">
        <f t="shared" si="5"/>
        <v>18278.6654010401</v>
      </c>
      <c r="K70" s="18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Height="1" spans="1:26">
      <c r="A71" s="2"/>
      <c r="B71" s="28">
        <f t="shared" si="6"/>
        <v>46</v>
      </c>
      <c r="C71" s="17">
        <v>45505</v>
      </c>
      <c r="D71" s="32">
        <f t="shared" si="7"/>
        <v>3870085.14226535</v>
      </c>
      <c r="E71" s="32">
        <f t="shared" si="0"/>
        <v>18278.6654010401</v>
      </c>
      <c r="F71" s="32">
        <f t="shared" si="1"/>
        <v>10481.4805936353</v>
      </c>
      <c r="G71" s="32">
        <f t="shared" si="2"/>
        <v>7797.18480740473</v>
      </c>
      <c r="H71" s="32">
        <f t="shared" si="3"/>
        <v>3862287.95745795</v>
      </c>
      <c r="I71" s="32">
        <f t="shared" si="4"/>
        <v>0</v>
      </c>
      <c r="J71" s="32">
        <f t="shared" si="5"/>
        <v>18278.6654010401</v>
      </c>
      <c r="K71" s="18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Height="1" spans="1:26">
      <c r="A72" s="2"/>
      <c r="B72" s="28">
        <f t="shared" si="6"/>
        <v>47</v>
      </c>
      <c r="C72" s="17">
        <v>45536</v>
      </c>
      <c r="D72" s="32">
        <f t="shared" si="7"/>
        <v>3862287.95745795</v>
      </c>
      <c r="E72" s="32">
        <f t="shared" si="0"/>
        <v>18278.6654010401</v>
      </c>
      <c r="F72" s="32">
        <f t="shared" si="1"/>
        <v>10460.3632181153</v>
      </c>
      <c r="G72" s="32">
        <f t="shared" si="2"/>
        <v>7818.30218292479</v>
      </c>
      <c r="H72" s="32">
        <f t="shared" si="3"/>
        <v>3854469.65527502</v>
      </c>
      <c r="I72" s="32">
        <f t="shared" si="4"/>
        <v>0</v>
      </c>
      <c r="J72" s="32">
        <f t="shared" si="5"/>
        <v>18278.6654010401</v>
      </c>
      <c r="K72" s="18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Height="1" spans="1:26">
      <c r="A73" s="2"/>
      <c r="B73" s="28">
        <f t="shared" si="6"/>
        <v>48</v>
      </c>
      <c r="C73" s="17">
        <v>45566</v>
      </c>
      <c r="D73" s="32">
        <f t="shared" si="7"/>
        <v>3854469.65527502</v>
      </c>
      <c r="E73" s="32">
        <f t="shared" si="0"/>
        <v>18278.6654010401</v>
      </c>
      <c r="F73" s="32">
        <f t="shared" si="1"/>
        <v>10439.1886497032</v>
      </c>
      <c r="G73" s="32">
        <f t="shared" si="2"/>
        <v>7839.47675133688</v>
      </c>
      <c r="H73" s="32">
        <f t="shared" si="3"/>
        <v>3846630.17852369</v>
      </c>
      <c r="I73" s="32">
        <f t="shared" si="4"/>
        <v>0</v>
      </c>
      <c r="J73" s="32">
        <f t="shared" si="5"/>
        <v>18278.6654010401</v>
      </c>
      <c r="K73" s="18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Height="1" spans="1:26">
      <c r="A74" s="2"/>
      <c r="B74" s="28">
        <f t="shared" si="6"/>
        <v>49</v>
      </c>
      <c r="C74" s="17">
        <v>45597</v>
      </c>
      <c r="D74" s="32">
        <f t="shared" si="7"/>
        <v>3846630.17852369</v>
      </c>
      <c r="E74" s="32">
        <f t="shared" si="0"/>
        <v>18278.6654010401</v>
      </c>
      <c r="F74" s="32">
        <f t="shared" si="1"/>
        <v>10417.9567335017</v>
      </c>
      <c r="G74" s="32">
        <f t="shared" si="2"/>
        <v>7860.70866753841</v>
      </c>
      <c r="H74" s="32">
        <f t="shared" si="3"/>
        <v>3838769.46985615</v>
      </c>
      <c r="I74" s="32">
        <f t="shared" si="4"/>
        <v>0</v>
      </c>
      <c r="J74" s="32">
        <f t="shared" si="5"/>
        <v>18278.6654010401</v>
      </c>
      <c r="K74" s="32">
        <f>SUM(I74:I85)</f>
        <v>0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Height="1" spans="1:26">
      <c r="A75" s="2"/>
      <c r="B75" s="28">
        <f t="shared" si="6"/>
        <v>50</v>
      </c>
      <c r="C75" s="17">
        <v>45627</v>
      </c>
      <c r="D75" s="32">
        <f t="shared" si="7"/>
        <v>3838769.46985615</v>
      </c>
      <c r="E75" s="32">
        <f t="shared" si="0"/>
        <v>18278.6654010401</v>
      </c>
      <c r="F75" s="32">
        <f t="shared" si="1"/>
        <v>10396.6673141937</v>
      </c>
      <c r="G75" s="32">
        <f t="shared" si="2"/>
        <v>7881.99808684633</v>
      </c>
      <c r="H75" s="32">
        <f t="shared" si="3"/>
        <v>3830887.4717693</v>
      </c>
      <c r="I75" s="32">
        <f t="shared" si="4"/>
        <v>0</v>
      </c>
      <c r="J75" s="32">
        <f t="shared" si="5"/>
        <v>18278.6654010401</v>
      </c>
      <c r="K75" s="18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Height="1" spans="1:26">
      <c r="A76" s="2"/>
      <c r="B76" s="28">
        <f t="shared" si="6"/>
        <v>51</v>
      </c>
      <c r="C76" s="17">
        <v>45658</v>
      </c>
      <c r="D76" s="32">
        <f t="shared" si="7"/>
        <v>3830887.4717693</v>
      </c>
      <c r="E76" s="32">
        <f t="shared" si="0"/>
        <v>18278.6654010401</v>
      </c>
      <c r="F76" s="32">
        <f t="shared" si="1"/>
        <v>10375.3202360419</v>
      </c>
      <c r="G76" s="32">
        <f t="shared" si="2"/>
        <v>7903.34516499821</v>
      </c>
      <c r="H76" s="32">
        <f t="shared" si="3"/>
        <v>3822984.1266043</v>
      </c>
      <c r="I76" s="32">
        <f t="shared" si="4"/>
        <v>0</v>
      </c>
      <c r="J76" s="32">
        <f t="shared" si="5"/>
        <v>18278.6654010401</v>
      </c>
      <c r="K76" s="18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Height="1" spans="1:26">
      <c r="A77" s="2"/>
      <c r="B77" s="28">
        <f t="shared" si="6"/>
        <v>52</v>
      </c>
      <c r="C77" s="17">
        <v>45689</v>
      </c>
      <c r="D77" s="32">
        <f t="shared" si="7"/>
        <v>3822984.1266043</v>
      </c>
      <c r="E77" s="32">
        <f t="shared" si="0"/>
        <v>18278.6654010401</v>
      </c>
      <c r="F77" s="32">
        <f t="shared" si="1"/>
        <v>10353.9153428867</v>
      </c>
      <c r="G77" s="32">
        <f t="shared" si="2"/>
        <v>7924.75005815341</v>
      </c>
      <c r="H77" s="32">
        <f t="shared" si="3"/>
        <v>3815059.37654615</v>
      </c>
      <c r="I77" s="32">
        <f t="shared" si="4"/>
        <v>0</v>
      </c>
      <c r="J77" s="32">
        <f t="shared" si="5"/>
        <v>18278.6654010401</v>
      </c>
      <c r="K77" s="18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Height="1" spans="1:26">
      <c r="A78" s="2"/>
      <c r="B78" s="28">
        <f t="shared" si="6"/>
        <v>53</v>
      </c>
      <c r="C78" s="17">
        <v>45717</v>
      </c>
      <c r="D78" s="32">
        <f t="shared" si="7"/>
        <v>3815059.37654615</v>
      </c>
      <c r="E78" s="32">
        <f t="shared" si="0"/>
        <v>18278.6654010401</v>
      </c>
      <c r="F78" s="32">
        <f t="shared" si="1"/>
        <v>10332.4524781458</v>
      </c>
      <c r="G78" s="32">
        <f t="shared" si="2"/>
        <v>7946.21292289424</v>
      </c>
      <c r="H78" s="32">
        <f t="shared" si="3"/>
        <v>3807113.16362326</v>
      </c>
      <c r="I78" s="32">
        <f t="shared" si="4"/>
        <v>0</v>
      </c>
      <c r="J78" s="32">
        <f t="shared" si="5"/>
        <v>18278.6654010401</v>
      </c>
      <c r="K78" s="18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Height="1" spans="1:26">
      <c r="A79" s="2"/>
      <c r="B79" s="28">
        <f t="shared" si="6"/>
        <v>54</v>
      </c>
      <c r="C79" s="17">
        <v>45748</v>
      </c>
      <c r="D79" s="32">
        <f t="shared" si="7"/>
        <v>3807113.16362326</v>
      </c>
      <c r="E79" s="32">
        <f t="shared" si="0"/>
        <v>18278.6654010401</v>
      </c>
      <c r="F79" s="32">
        <f t="shared" si="1"/>
        <v>10310.931484813</v>
      </c>
      <c r="G79" s="32">
        <f t="shared" si="2"/>
        <v>7967.73391622708</v>
      </c>
      <c r="H79" s="32">
        <f t="shared" si="3"/>
        <v>3799145.42970703</v>
      </c>
      <c r="I79" s="32">
        <f t="shared" si="4"/>
        <v>0</v>
      </c>
      <c r="J79" s="32">
        <f t="shared" si="5"/>
        <v>18278.6654010401</v>
      </c>
      <c r="K79" s="18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Height="1" spans="1:26">
      <c r="A80" s="2"/>
      <c r="B80" s="28">
        <f t="shared" si="6"/>
        <v>55</v>
      </c>
      <c r="C80" s="17">
        <v>45778</v>
      </c>
      <c r="D80" s="32">
        <f t="shared" si="7"/>
        <v>3799145.42970703</v>
      </c>
      <c r="E80" s="32">
        <f t="shared" si="0"/>
        <v>18278.6654010401</v>
      </c>
      <c r="F80" s="32">
        <f t="shared" si="1"/>
        <v>10289.3522054565</v>
      </c>
      <c r="G80" s="32">
        <f t="shared" si="2"/>
        <v>7989.31319558353</v>
      </c>
      <c r="H80" s="32">
        <f t="shared" si="3"/>
        <v>3791156.11651145</v>
      </c>
      <c r="I80" s="32">
        <f t="shared" si="4"/>
        <v>0</v>
      </c>
      <c r="J80" s="32">
        <f t="shared" si="5"/>
        <v>18278.6654010401</v>
      </c>
      <c r="K80" s="18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Height="1" spans="1:26">
      <c r="A81" s="2"/>
      <c r="B81" s="28">
        <f t="shared" si="6"/>
        <v>56</v>
      </c>
      <c r="C81" s="17">
        <v>45809</v>
      </c>
      <c r="D81" s="32">
        <f t="shared" si="7"/>
        <v>3791156.11651145</v>
      </c>
      <c r="E81" s="32">
        <f t="shared" si="0"/>
        <v>18278.6654010401</v>
      </c>
      <c r="F81" s="32">
        <f t="shared" si="1"/>
        <v>10267.7144822185</v>
      </c>
      <c r="G81" s="32">
        <f t="shared" si="2"/>
        <v>8010.95091882157</v>
      </c>
      <c r="H81" s="32">
        <f t="shared" si="3"/>
        <v>3783145.16559262</v>
      </c>
      <c r="I81" s="32">
        <f t="shared" si="4"/>
        <v>0</v>
      </c>
      <c r="J81" s="32">
        <f t="shared" si="5"/>
        <v>18278.6654010401</v>
      </c>
      <c r="K81" s="18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Height="1" spans="1:26">
      <c r="A82" s="2"/>
      <c r="B82" s="28">
        <f t="shared" si="6"/>
        <v>57</v>
      </c>
      <c r="C82" s="17">
        <v>45839</v>
      </c>
      <c r="D82" s="32">
        <f t="shared" si="7"/>
        <v>3783145.16559262</v>
      </c>
      <c r="E82" s="32">
        <f t="shared" si="0"/>
        <v>18278.6654010401</v>
      </c>
      <c r="F82" s="32">
        <f t="shared" si="1"/>
        <v>10246.0181568134</v>
      </c>
      <c r="G82" s="32">
        <f t="shared" si="2"/>
        <v>8032.64724422671</v>
      </c>
      <c r="H82" s="32">
        <f t="shared" si="3"/>
        <v>3775112.5183484</v>
      </c>
      <c r="I82" s="32">
        <f t="shared" si="4"/>
        <v>0</v>
      </c>
      <c r="J82" s="32">
        <f t="shared" si="5"/>
        <v>18278.6654010401</v>
      </c>
      <c r="K82" s="18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Height="1" spans="1:26">
      <c r="A83" s="2"/>
      <c r="B83" s="28">
        <f t="shared" si="6"/>
        <v>58</v>
      </c>
      <c r="C83" s="17">
        <v>45870</v>
      </c>
      <c r="D83" s="32">
        <f t="shared" si="7"/>
        <v>3775112.5183484</v>
      </c>
      <c r="E83" s="32">
        <f t="shared" si="0"/>
        <v>18278.6654010401</v>
      </c>
      <c r="F83" s="32">
        <f t="shared" si="1"/>
        <v>10224.2630705269</v>
      </c>
      <c r="G83" s="32">
        <f t="shared" si="2"/>
        <v>8054.40233051316</v>
      </c>
      <c r="H83" s="32">
        <f t="shared" si="3"/>
        <v>3767058.11601788</v>
      </c>
      <c r="I83" s="32">
        <f t="shared" si="4"/>
        <v>0</v>
      </c>
      <c r="J83" s="32">
        <f t="shared" si="5"/>
        <v>18278.6654010401</v>
      </c>
      <c r="K83" s="18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Height="1" spans="1:26">
      <c r="A84" s="2"/>
      <c r="B84" s="28">
        <f t="shared" si="6"/>
        <v>59</v>
      </c>
      <c r="C84" s="17">
        <v>45901</v>
      </c>
      <c r="D84" s="32">
        <f t="shared" si="7"/>
        <v>3767058.11601788</v>
      </c>
      <c r="E84" s="32">
        <f t="shared" si="0"/>
        <v>18278.6654010401</v>
      </c>
      <c r="F84" s="32">
        <f t="shared" si="1"/>
        <v>10202.4490642151</v>
      </c>
      <c r="G84" s="32">
        <f t="shared" si="2"/>
        <v>8076.21633682497</v>
      </c>
      <c r="H84" s="32">
        <f t="shared" si="3"/>
        <v>3758981.89968106</v>
      </c>
      <c r="I84" s="32">
        <f t="shared" si="4"/>
        <v>0</v>
      </c>
      <c r="J84" s="32">
        <f t="shared" si="5"/>
        <v>18278.6654010401</v>
      </c>
      <c r="K84" s="18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Height="1" spans="1:26">
      <c r="A85" s="2"/>
      <c r="B85" s="28">
        <f t="shared" si="6"/>
        <v>60</v>
      </c>
      <c r="C85" s="17">
        <v>45931</v>
      </c>
      <c r="D85" s="32">
        <f t="shared" si="7"/>
        <v>3758981.89968106</v>
      </c>
      <c r="E85" s="32">
        <f t="shared" si="0"/>
        <v>18278.6654010401</v>
      </c>
      <c r="F85" s="32">
        <f t="shared" si="1"/>
        <v>10180.5759783029</v>
      </c>
      <c r="G85" s="32">
        <f t="shared" si="2"/>
        <v>8098.0894227372</v>
      </c>
      <c r="H85" s="32">
        <f t="shared" si="3"/>
        <v>3750883.81025832</v>
      </c>
      <c r="I85" s="32">
        <f t="shared" si="4"/>
        <v>0</v>
      </c>
      <c r="J85" s="32">
        <f t="shared" si="5"/>
        <v>18278.6654010401</v>
      </c>
      <c r="K85" s="18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Height="1" spans="1:26">
      <c r="A86" s="2"/>
      <c r="B86" s="28">
        <f t="shared" si="6"/>
        <v>61</v>
      </c>
      <c r="C86" s="17">
        <v>45962</v>
      </c>
      <c r="D86" s="32">
        <f t="shared" si="7"/>
        <v>3750883.81025832</v>
      </c>
      <c r="E86" s="32">
        <f t="shared" si="0"/>
        <v>18278.6654010401</v>
      </c>
      <c r="F86" s="32">
        <f t="shared" si="1"/>
        <v>10158.643652783</v>
      </c>
      <c r="G86" s="32">
        <f t="shared" si="2"/>
        <v>8120.02174825711</v>
      </c>
      <c r="H86" s="32">
        <f t="shared" si="3"/>
        <v>3742763.78851006</v>
      </c>
      <c r="I86" s="32">
        <f t="shared" si="4"/>
        <v>0</v>
      </c>
      <c r="J86" s="32">
        <f t="shared" si="5"/>
        <v>18278.6654010401</v>
      </c>
      <c r="K86" s="32">
        <f>SUM(I86:I97)</f>
        <v>0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Height="1" spans="1:26">
      <c r="A87" s="2"/>
      <c r="B87" s="28">
        <f t="shared" si="6"/>
        <v>62</v>
      </c>
      <c r="C87" s="17">
        <v>45992</v>
      </c>
      <c r="D87" s="32">
        <f t="shared" si="7"/>
        <v>3742763.78851006</v>
      </c>
      <c r="E87" s="32">
        <f t="shared" si="0"/>
        <v>18278.6654010401</v>
      </c>
      <c r="F87" s="32">
        <f t="shared" si="1"/>
        <v>10136.6519272148</v>
      </c>
      <c r="G87" s="32">
        <f t="shared" si="2"/>
        <v>8142.01347382531</v>
      </c>
      <c r="H87" s="32">
        <f t="shared" si="3"/>
        <v>3734621.77503624</v>
      </c>
      <c r="I87" s="32">
        <f t="shared" si="4"/>
        <v>0</v>
      </c>
      <c r="J87" s="32">
        <f t="shared" si="5"/>
        <v>18278.6654010401</v>
      </c>
      <c r="K87" s="18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Height="1" spans="1:26">
      <c r="A88" s="2"/>
      <c r="B88" s="28">
        <f t="shared" si="6"/>
        <v>63</v>
      </c>
      <c r="C88" s="17">
        <v>46023</v>
      </c>
      <c r="D88" s="32">
        <f t="shared" si="7"/>
        <v>3734621.77503624</v>
      </c>
      <c r="E88" s="32">
        <f t="shared" si="0"/>
        <v>18278.6654010401</v>
      </c>
      <c r="F88" s="32">
        <f t="shared" si="1"/>
        <v>10114.6006407231</v>
      </c>
      <c r="G88" s="32">
        <f t="shared" si="2"/>
        <v>8164.06476031692</v>
      </c>
      <c r="H88" s="32">
        <f t="shared" si="3"/>
        <v>3726457.71027592</v>
      </c>
      <c r="I88" s="32">
        <f t="shared" si="4"/>
        <v>0</v>
      </c>
      <c r="J88" s="32">
        <f t="shared" si="5"/>
        <v>18278.6654010401</v>
      </c>
      <c r="K88" s="18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Height="1" spans="1:26">
      <c r="A89" s="2"/>
      <c r="B89" s="28">
        <f t="shared" si="6"/>
        <v>64</v>
      </c>
      <c r="C89" s="17">
        <v>46054</v>
      </c>
      <c r="D89" s="32">
        <f t="shared" si="7"/>
        <v>3726457.71027592</v>
      </c>
      <c r="E89" s="32">
        <f t="shared" si="0"/>
        <v>18278.6654010401</v>
      </c>
      <c r="F89" s="32">
        <f t="shared" si="1"/>
        <v>10092.4896319973</v>
      </c>
      <c r="G89" s="32">
        <f t="shared" si="2"/>
        <v>8186.17576904278</v>
      </c>
      <c r="H89" s="32">
        <f t="shared" si="3"/>
        <v>3718271.53450688</v>
      </c>
      <c r="I89" s="32">
        <f t="shared" si="4"/>
        <v>0</v>
      </c>
      <c r="J89" s="32">
        <f t="shared" si="5"/>
        <v>18278.6654010401</v>
      </c>
      <c r="K89" s="18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Height="1" spans="1:26">
      <c r="A90" s="2"/>
      <c r="B90" s="28">
        <f t="shared" si="6"/>
        <v>65</v>
      </c>
      <c r="C90" s="17">
        <v>46082</v>
      </c>
      <c r="D90" s="32">
        <f t="shared" si="7"/>
        <v>3718271.53450688</v>
      </c>
      <c r="E90" s="32">
        <f t="shared" si="0"/>
        <v>18278.6654010401</v>
      </c>
      <c r="F90" s="32">
        <f t="shared" si="1"/>
        <v>10070.3187392895</v>
      </c>
      <c r="G90" s="32">
        <f t="shared" si="2"/>
        <v>8208.3466617506</v>
      </c>
      <c r="H90" s="32">
        <f t="shared" si="3"/>
        <v>3710063.18784513</v>
      </c>
      <c r="I90" s="32">
        <f t="shared" si="4"/>
        <v>0</v>
      </c>
      <c r="J90" s="32">
        <f t="shared" si="5"/>
        <v>18278.6654010401</v>
      </c>
      <c r="K90" s="18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Height="1" spans="1:26">
      <c r="A91" s="2"/>
      <c r="B91" s="28">
        <f t="shared" si="6"/>
        <v>66</v>
      </c>
      <c r="C91" s="17">
        <v>46113</v>
      </c>
      <c r="D91" s="32">
        <f t="shared" si="7"/>
        <v>3710063.18784513</v>
      </c>
      <c r="E91" s="32">
        <f t="shared" si="0"/>
        <v>18278.6654010401</v>
      </c>
      <c r="F91" s="32">
        <f t="shared" si="1"/>
        <v>10048.0878004139</v>
      </c>
      <c r="G91" s="32">
        <f t="shared" si="2"/>
        <v>8230.57760062618</v>
      </c>
      <c r="H91" s="32">
        <f t="shared" si="3"/>
        <v>3701832.6102445</v>
      </c>
      <c r="I91" s="32">
        <f t="shared" si="4"/>
        <v>0</v>
      </c>
      <c r="J91" s="32">
        <f t="shared" si="5"/>
        <v>18278.6654010401</v>
      </c>
      <c r="K91" s="18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Height="1" spans="1:26">
      <c r="A92" s="2"/>
      <c r="B92" s="28">
        <f t="shared" si="6"/>
        <v>67</v>
      </c>
      <c r="C92" s="17">
        <v>46143</v>
      </c>
      <c r="D92" s="32">
        <f t="shared" si="7"/>
        <v>3701832.6102445</v>
      </c>
      <c r="E92" s="32">
        <f t="shared" si="0"/>
        <v>18278.6654010401</v>
      </c>
      <c r="F92" s="32">
        <f t="shared" si="1"/>
        <v>10025.7966527455</v>
      </c>
      <c r="G92" s="32">
        <f t="shared" si="2"/>
        <v>8252.86874829454</v>
      </c>
      <c r="H92" s="32">
        <f t="shared" si="3"/>
        <v>3693579.74149621</v>
      </c>
      <c r="I92" s="32">
        <f t="shared" si="4"/>
        <v>0</v>
      </c>
      <c r="J92" s="32">
        <f t="shared" si="5"/>
        <v>18278.6654010401</v>
      </c>
      <c r="K92" s="18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Height="1" spans="1:26">
      <c r="A93" s="2"/>
      <c r="B93" s="28">
        <f t="shared" si="6"/>
        <v>68</v>
      </c>
      <c r="C93" s="17">
        <v>46174</v>
      </c>
      <c r="D93" s="32">
        <f t="shared" si="7"/>
        <v>3693579.74149621</v>
      </c>
      <c r="E93" s="32">
        <f t="shared" si="0"/>
        <v>18278.6654010401</v>
      </c>
      <c r="F93" s="32">
        <f t="shared" si="1"/>
        <v>10003.4451332189</v>
      </c>
      <c r="G93" s="32">
        <f t="shared" si="2"/>
        <v>8275.22026782117</v>
      </c>
      <c r="H93" s="32">
        <f t="shared" si="3"/>
        <v>3685304.52122839</v>
      </c>
      <c r="I93" s="32">
        <f t="shared" si="4"/>
        <v>0</v>
      </c>
      <c r="J93" s="32">
        <f t="shared" si="5"/>
        <v>18278.6654010401</v>
      </c>
      <c r="K93" s="18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Height="1" spans="1:26">
      <c r="A94" s="2"/>
      <c r="B94" s="28">
        <f t="shared" si="6"/>
        <v>69</v>
      </c>
      <c r="C94" s="17">
        <v>46204</v>
      </c>
      <c r="D94" s="32">
        <f t="shared" si="7"/>
        <v>3685304.52122839</v>
      </c>
      <c r="E94" s="32">
        <f t="shared" si="0"/>
        <v>18278.6654010401</v>
      </c>
      <c r="F94" s="32">
        <f t="shared" si="1"/>
        <v>9981.03307832688</v>
      </c>
      <c r="G94" s="32">
        <f t="shared" si="2"/>
        <v>8297.63232271319</v>
      </c>
      <c r="H94" s="32">
        <f t="shared" si="3"/>
        <v>3677006.88890567</v>
      </c>
      <c r="I94" s="32">
        <f t="shared" si="4"/>
        <v>0</v>
      </c>
      <c r="J94" s="32">
        <f t="shared" si="5"/>
        <v>18278.6654010401</v>
      </c>
      <c r="K94" s="18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Height="1" spans="1:26">
      <c r="A95" s="2"/>
      <c r="B95" s="28">
        <f t="shared" si="6"/>
        <v>70</v>
      </c>
      <c r="C95" s="17">
        <v>46235</v>
      </c>
      <c r="D95" s="32">
        <f t="shared" si="7"/>
        <v>3677006.88890567</v>
      </c>
      <c r="E95" s="32">
        <f t="shared" si="0"/>
        <v>18278.6654010401</v>
      </c>
      <c r="F95" s="32">
        <f t="shared" si="1"/>
        <v>9958.56032411953</v>
      </c>
      <c r="G95" s="32">
        <f t="shared" si="2"/>
        <v>8320.10507692054</v>
      </c>
      <c r="H95" s="32">
        <f t="shared" si="3"/>
        <v>3668686.78382875</v>
      </c>
      <c r="I95" s="32">
        <f t="shared" si="4"/>
        <v>0</v>
      </c>
      <c r="J95" s="32">
        <f t="shared" si="5"/>
        <v>18278.6654010401</v>
      </c>
      <c r="K95" s="18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Height="1" spans="1:26">
      <c r="A96" s="2"/>
      <c r="B96" s="28">
        <f t="shared" si="6"/>
        <v>71</v>
      </c>
      <c r="C96" s="17">
        <v>46266</v>
      </c>
      <c r="D96" s="32">
        <f t="shared" si="7"/>
        <v>3668686.78382875</v>
      </c>
      <c r="E96" s="32">
        <f t="shared" si="0"/>
        <v>18278.6654010401</v>
      </c>
      <c r="F96" s="32">
        <f t="shared" si="1"/>
        <v>9936.02670620287</v>
      </c>
      <c r="G96" s="32">
        <f t="shared" si="2"/>
        <v>8342.6386948372</v>
      </c>
      <c r="H96" s="32">
        <f t="shared" si="3"/>
        <v>3660344.14513391</v>
      </c>
      <c r="I96" s="32">
        <f t="shared" si="4"/>
        <v>0</v>
      </c>
      <c r="J96" s="32">
        <f t="shared" si="5"/>
        <v>18278.6654010401</v>
      </c>
      <c r="K96" s="18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Height="1" spans="1:26">
      <c r="A97" s="2"/>
      <c r="B97" s="28">
        <f t="shared" si="6"/>
        <v>72</v>
      </c>
      <c r="C97" s="17">
        <v>46296</v>
      </c>
      <c r="D97" s="32">
        <f t="shared" si="7"/>
        <v>3660344.14513391</v>
      </c>
      <c r="E97" s="32">
        <f t="shared" si="0"/>
        <v>18278.6654010401</v>
      </c>
      <c r="F97" s="32">
        <f t="shared" si="1"/>
        <v>9913.43205973769</v>
      </c>
      <c r="G97" s="32">
        <f t="shared" si="2"/>
        <v>8365.23334130238</v>
      </c>
      <c r="H97" s="32">
        <f t="shared" si="3"/>
        <v>3651978.91179261</v>
      </c>
      <c r="I97" s="32">
        <f t="shared" si="4"/>
        <v>0</v>
      </c>
      <c r="J97" s="32">
        <f t="shared" si="5"/>
        <v>18278.6654010401</v>
      </c>
      <c r="K97" s="18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Height="1" spans="1:26">
      <c r="A98" s="36"/>
      <c r="B98" s="37">
        <f t="shared" si="6"/>
        <v>73</v>
      </c>
      <c r="C98" s="38">
        <v>46327</v>
      </c>
      <c r="D98" s="39">
        <f t="shared" si="7"/>
        <v>3651978.91179261</v>
      </c>
      <c r="E98" s="39">
        <f t="shared" si="0"/>
        <v>18278.6654010401</v>
      </c>
      <c r="F98" s="39">
        <f t="shared" si="1"/>
        <v>9890.77621943833</v>
      </c>
      <c r="G98" s="39">
        <f t="shared" si="2"/>
        <v>8387.88918160174</v>
      </c>
      <c r="H98" s="39">
        <f t="shared" si="3"/>
        <v>3643591.02261101</v>
      </c>
      <c r="I98" s="39">
        <f t="shared" si="4"/>
        <v>0</v>
      </c>
      <c r="J98" s="39">
        <f t="shared" si="5"/>
        <v>18278.6654010401</v>
      </c>
      <c r="K98" s="39">
        <f>SUM(I98:I109)</f>
        <v>0</v>
      </c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customHeight="1" spans="1:26">
      <c r="A99" s="2"/>
      <c r="B99" s="28">
        <f t="shared" si="6"/>
        <v>74</v>
      </c>
      <c r="C99" s="17">
        <v>46357</v>
      </c>
      <c r="D99" s="32">
        <f t="shared" si="7"/>
        <v>3643591.02261101</v>
      </c>
      <c r="E99" s="32">
        <f t="shared" si="0"/>
        <v>18278.6654010401</v>
      </c>
      <c r="F99" s="32">
        <f t="shared" si="1"/>
        <v>9868.05901957149</v>
      </c>
      <c r="G99" s="32">
        <f t="shared" si="2"/>
        <v>8410.60638146858</v>
      </c>
      <c r="H99" s="32">
        <f t="shared" si="3"/>
        <v>3635180.41622954</v>
      </c>
      <c r="I99" s="32">
        <f t="shared" si="4"/>
        <v>0</v>
      </c>
      <c r="J99" s="32">
        <f t="shared" si="5"/>
        <v>18278.6654010401</v>
      </c>
      <c r="K99" s="18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Height="1" spans="1:26">
      <c r="A100" s="2"/>
      <c r="B100" s="28">
        <f t="shared" si="6"/>
        <v>75</v>
      </c>
      <c r="C100" s="17">
        <v>46388</v>
      </c>
      <c r="D100" s="32">
        <f t="shared" si="7"/>
        <v>3635180.41622954</v>
      </c>
      <c r="E100" s="32">
        <f t="shared" si="0"/>
        <v>18278.6654010401</v>
      </c>
      <c r="F100" s="32">
        <f t="shared" si="1"/>
        <v>9845.28029395501</v>
      </c>
      <c r="G100" s="32">
        <f t="shared" si="2"/>
        <v>8433.38510708506</v>
      </c>
      <c r="H100" s="32">
        <f t="shared" si="3"/>
        <v>3626747.03112246</v>
      </c>
      <c r="I100" s="32">
        <f t="shared" si="4"/>
        <v>0</v>
      </c>
      <c r="J100" s="32">
        <f t="shared" si="5"/>
        <v>18278.6654010401</v>
      </c>
      <c r="K100" s="18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Height="1" spans="1:26">
      <c r="A101" s="2"/>
      <c r="B101" s="28">
        <f t="shared" si="6"/>
        <v>76</v>
      </c>
      <c r="C101" s="17">
        <v>46419</v>
      </c>
      <c r="D101" s="32">
        <f t="shared" si="7"/>
        <v>3626747.03112246</v>
      </c>
      <c r="E101" s="32">
        <f t="shared" si="0"/>
        <v>18278.6654010401</v>
      </c>
      <c r="F101" s="32">
        <f t="shared" si="1"/>
        <v>9822.43987595666</v>
      </c>
      <c r="G101" s="32">
        <f t="shared" si="2"/>
        <v>8456.22552508341</v>
      </c>
      <c r="H101" s="32">
        <f t="shared" si="3"/>
        <v>3618290.80559737</v>
      </c>
      <c r="I101" s="32">
        <f t="shared" si="4"/>
        <v>0</v>
      </c>
      <c r="J101" s="32">
        <f t="shared" si="5"/>
        <v>18278.6654010401</v>
      </c>
      <c r="K101" s="18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Height="1" spans="1:26">
      <c r="A102" s="2"/>
      <c r="B102" s="28">
        <f t="shared" si="6"/>
        <v>77</v>
      </c>
      <c r="C102" s="17">
        <v>46447</v>
      </c>
      <c r="D102" s="32">
        <f t="shared" si="7"/>
        <v>3618290.80559737</v>
      </c>
      <c r="E102" s="32">
        <f t="shared" si="0"/>
        <v>18278.6654010401</v>
      </c>
      <c r="F102" s="32">
        <f t="shared" si="1"/>
        <v>9799.53759849289</v>
      </c>
      <c r="G102" s="32">
        <f t="shared" si="2"/>
        <v>8479.12780254718</v>
      </c>
      <c r="H102" s="32">
        <f t="shared" si="3"/>
        <v>3609811.67779483</v>
      </c>
      <c r="I102" s="32">
        <f t="shared" si="4"/>
        <v>0</v>
      </c>
      <c r="J102" s="32">
        <f t="shared" si="5"/>
        <v>18278.6654010401</v>
      </c>
      <c r="K102" s="18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Height="1" spans="1:26">
      <c r="A103" s="2"/>
      <c r="B103" s="28">
        <f t="shared" si="6"/>
        <v>78</v>
      </c>
      <c r="C103" s="17">
        <v>46478</v>
      </c>
      <c r="D103" s="32">
        <f t="shared" si="7"/>
        <v>3609811.67779483</v>
      </c>
      <c r="E103" s="32">
        <f t="shared" si="0"/>
        <v>18278.6654010401</v>
      </c>
      <c r="F103" s="32">
        <f t="shared" si="1"/>
        <v>9776.57329402766</v>
      </c>
      <c r="G103" s="32">
        <f t="shared" si="2"/>
        <v>8502.09210701241</v>
      </c>
      <c r="H103" s="32">
        <f t="shared" si="3"/>
        <v>3601309.58568781</v>
      </c>
      <c r="I103" s="32">
        <f t="shared" si="4"/>
        <v>0</v>
      </c>
      <c r="J103" s="32">
        <f t="shared" si="5"/>
        <v>18278.6654010401</v>
      </c>
      <c r="K103" s="18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Height="1" spans="1:26">
      <c r="A104" s="2"/>
      <c r="B104" s="28">
        <f t="shared" si="6"/>
        <v>79</v>
      </c>
      <c r="C104" s="17">
        <v>46508</v>
      </c>
      <c r="D104" s="32">
        <f t="shared" si="7"/>
        <v>3601309.58568781</v>
      </c>
      <c r="E104" s="32">
        <f t="shared" si="0"/>
        <v>18278.6654010401</v>
      </c>
      <c r="F104" s="32">
        <f t="shared" si="1"/>
        <v>9753.54679457116</v>
      </c>
      <c r="G104" s="32">
        <f t="shared" si="2"/>
        <v>8525.1186064689</v>
      </c>
      <c r="H104" s="32">
        <f t="shared" si="3"/>
        <v>3592784.46708135</v>
      </c>
      <c r="I104" s="32">
        <f t="shared" si="4"/>
        <v>0</v>
      </c>
      <c r="J104" s="32">
        <f t="shared" si="5"/>
        <v>18278.6654010401</v>
      </c>
      <c r="K104" s="18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Height="1" spans="1:26">
      <c r="A105" s="2"/>
      <c r="B105" s="28">
        <f t="shared" si="6"/>
        <v>80</v>
      </c>
      <c r="C105" s="17">
        <v>46539</v>
      </c>
      <c r="D105" s="32">
        <f t="shared" si="7"/>
        <v>3592784.46708135</v>
      </c>
      <c r="E105" s="32">
        <f t="shared" si="0"/>
        <v>18278.6654010401</v>
      </c>
      <c r="F105" s="32">
        <f t="shared" si="1"/>
        <v>9730.45793167864</v>
      </c>
      <c r="G105" s="32">
        <f t="shared" si="2"/>
        <v>8548.20746936142</v>
      </c>
      <c r="H105" s="32">
        <f t="shared" si="3"/>
        <v>3584236.25961198</v>
      </c>
      <c r="I105" s="32">
        <f t="shared" si="4"/>
        <v>0</v>
      </c>
      <c r="J105" s="32">
        <f t="shared" si="5"/>
        <v>18278.6654010401</v>
      </c>
      <c r="K105" s="18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Height="1" spans="1:26">
      <c r="A106" s="2"/>
      <c r="B106" s="28">
        <f t="shared" si="6"/>
        <v>81</v>
      </c>
      <c r="C106" s="17">
        <v>46569</v>
      </c>
      <c r="D106" s="32">
        <f t="shared" si="7"/>
        <v>3584236.25961198</v>
      </c>
      <c r="E106" s="32">
        <f t="shared" si="0"/>
        <v>18278.6654010401</v>
      </c>
      <c r="F106" s="32">
        <f t="shared" si="1"/>
        <v>9707.30653644912</v>
      </c>
      <c r="G106" s="32">
        <f t="shared" si="2"/>
        <v>8571.35886459094</v>
      </c>
      <c r="H106" s="32">
        <f t="shared" si="3"/>
        <v>3575664.90074739</v>
      </c>
      <c r="I106" s="32">
        <f t="shared" si="4"/>
        <v>0</v>
      </c>
      <c r="J106" s="32">
        <f t="shared" si="5"/>
        <v>18278.6654010401</v>
      </c>
      <c r="K106" s="18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Height="1" spans="1:26">
      <c r="A107" s="2"/>
      <c r="B107" s="28">
        <f t="shared" si="6"/>
        <v>82</v>
      </c>
      <c r="C107" s="17">
        <v>46600</v>
      </c>
      <c r="D107" s="32">
        <f t="shared" si="7"/>
        <v>3575664.90074739</v>
      </c>
      <c r="E107" s="32">
        <f t="shared" si="0"/>
        <v>18278.6654010401</v>
      </c>
      <c r="F107" s="32">
        <f t="shared" si="1"/>
        <v>9684.09243952419</v>
      </c>
      <c r="G107" s="32">
        <f t="shared" si="2"/>
        <v>8594.57296151588</v>
      </c>
      <c r="H107" s="32">
        <f t="shared" si="3"/>
        <v>3567070.32778588</v>
      </c>
      <c r="I107" s="32">
        <f t="shared" si="4"/>
        <v>0</v>
      </c>
      <c r="J107" s="32">
        <f t="shared" si="5"/>
        <v>18278.6654010401</v>
      </c>
      <c r="K107" s="18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Height="1" spans="1:26">
      <c r="A108" s="2"/>
      <c r="B108" s="28">
        <f t="shared" si="6"/>
        <v>83</v>
      </c>
      <c r="C108" s="17">
        <v>46631</v>
      </c>
      <c r="D108" s="32">
        <f t="shared" si="7"/>
        <v>3567070.32778588</v>
      </c>
      <c r="E108" s="32">
        <f t="shared" si="0"/>
        <v>18278.6654010401</v>
      </c>
      <c r="F108" s="32">
        <f t="shared" si="1"/>
        <v>9660.81547108675</v>
      </c>
      <c r="G108" s="32">
        <f t="shared" si="2"/>
        <v>8617.84992995332</v>
      </c>
      <c r="H108" s="32">
        <f t="shared" si="3"/>
        <v>3558452.47785592</v>
      </c>
      <c r="I108" s="32">
        <f t="shared" si="4"/>
        <v>0</v>
      </c>
      <c r="J108" s="32">
        <f t="shared" si="5"/>
        <v>18278.6654010401</v>
      </c>
      <c r="K108" s="18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Height="1" spans="1:26">
      <c r="A109" s="2"/>
      <c r="B109" s="28">
        <f t="shared" si="6"/>
        <v>84</v>
      </c>
      <c r="C109" s="17">
        <v>46661</v>
      </c>
      <c r="D109" s="32">
        <f t="shared" si="7"/>
        <v>3558452.47785592</v>
      </c>
      <c r="E109" s="32">
        <f t="shared" si="0"/>
        <v>18278.6654010401</v>
      </c>
      <c r="F109" s="32">
        <f t="shared" si="1"/>
        <v>9637.47546085979</v>
      </c>
      <c r="G109" s="32">
        <f t="shared" si="2"/>
        <v>8641.18994018027</v>
      </c>
      <c r="H109" s="32">
        <f t="shared" si="3"/>
        <v>3549811.28791574</v>
      </c>
      <c r="I109" s="32">
        <f t="shared" si="4"/>
        <v>0</v>
      </c>
      <c r="J109" s="32">
        <f t="shared" si="5"/>
        <v>18278.6654010401</v>
      </c>
      <c r="K109" s="18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Height="1" spans="1:26">
      <c r="A110" s="2"/>
      <c r="B110" s="28">
        <f t="shared" si="6"/>
        <v>85</v>
      </c>
      <c r="C110" s="17">
        <v>46692</v>
      </c>
      <c r="D110" s="32">
        <f t="shared" si="7"/>
        <v>3549811.28791574</v>
      </c>
      <c r="E110" s="32">
        <f t="shared" si="0"/>
        <v>18278.6654010401</v>
      </c>
      <c r="F110" s="32">
        <f t="shared" si="1"/>
        <v>9614.07223810514</v>
      </c>
      <c r="G110" s="32">
        <f t="shared" si="2"/>
        <v>8664.59316293493</v>
      </c>
      <c r="H110" s="32">
        <f t="shared" si="3"/>
        <v>3541146.69475281</v>
      </c>
      <c r="I110" s="32">
        <f t="shared" si="4"/>
        <v>0</v>
      </c>
      <c r="J110" s="32">
        <f t="shared" si="5"/>
        <v>18278.6654010401</v>
      </c>
      <c r="K110" s="32">
        <f>SUM(I110:I121)</f>
        <v>0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Height="1" spans="1:26">
      <c r="A111" s="2"/>
      <c r="B111" s="28">
        <f t="shared" si="6"/>
        <v>86</v>
      </c>
      <c r="C111" s="17">
        <v>46722</v>
      </c>
      <c r="D111" s="32">
        <f t="shared" si="7"/>
        <v>3541146.69475281</v>
      </c>
      <c r="E111" s="32">
        <f t="shared" si="0"/>
        <v>18278.6654010401</v>
      </c>
      <c r="F111" s="32">
        <f t="shared" si="1"/>
        <v>9590.60563162219</v>
      </c>
      <c r="G111" s="32">
        <f t="shared" si="2"/>
        <v>8688.05976941788</v>
      </c>
      <c r="H111" s="32">
        <f t="shared" si="3"/>
        <v>3532458.63498339</v>
      </c>
      <c r="I111" s="32">
        <f t="shared" si="4"/>
        <v>0</v>
      </c>
      <c r="J111" s="32">
        <f t="shared" si="5"/>
        <v>18278.6654010401</v>
      </c>
      <c r="K111" s="18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Height="1" spans="1:26">
      <c r="A112" s="2"/>
      <c r="B112" s="28">
        <f t="shared" si="6"/>
        <v>87</v>
      </c>
      <c r="C112" s="17">
        <v>46753</v>
      </c>
      <c r="D112" s="32">
        <f t="shared" si="7"/>
        <v>3532458.63498339</v>
      </c>
      <c r="E112" s="32">
        <f t="shared" si="0"/>
        <v>18278.6654010401</v>
      </c>
      <c r="F112" s="32">
        <f t="shared" si="1"/>
        <v>9567.07546974668</v>
      </c>
      <c r="G112" s="32">
        <f t="shared" si="2"/>
        <v>8711.58993129338</v>
      </c>
      <c r="H112" s="32">
        <f t="shared" si="3"/>
        <v>3523747.0450521</v>
      </c>
      <c r="I112" s="32">
        <f t="shared" si="4"/>
        <v>0</v>
      </c>
      <c r="J112" s="32">
        <f t="shared" si="5"/>
        <v>18278.6654010401</v>
      </c>
      <c r="K112" s="18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Height="1" spans="1:26">
      <c r="A113" s="2"/>
      <c r="B113" s="28">
        <f t="shared" si="6"/>
        <v>88</v>
      </c>
      <c r="C113" s="17">
        <v>46784</v>
      </c>
      <c r="D113" s="32">
        <f t="shared" si="7"/>
        <v>3523747.0450521</v>
      </c>
      <c r="E113" s="32">
        <f t="shared" si="0"/>
        <v>18278.6654010401</v>
      </c>
      <c r="F113" s="32">
        <f t="shared" si="1"/>
        <v>9543.48158034943</v>
      </c>
      <c r="G113" s="32">
        <f t="shared" si="2"/>
        <v>8735.18382069064</v>
      </c>
      <c r="H113" s="32">
        <f t="shared" si="3"/>
        <v>3515011.86123141</v>
      </c>
      <c r="I113" s="32">
        <f t="shared" si="4"/>
        <v>0</v>
      </c>
      <c r="J113" s="32">
        <f t="shared" si="5"/>
        <v>18278.6654010401</v>
      </c>
      <c r="K113" s="18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Height="1" spans="1:26">
      <c r="A114" s="2"/>
      <c r="B114" s="28">
        <f t="shared" si="6"/>
        <v>89</v>
      </c>
      <c r="C114" s="17">
        <v>46813</v>
      </c>
      <c r="D114" s="32">
        <f t="shared" si="7"/>
        <v>3515011.86123141</v>
      </c>
      <c r="E114" s="32">
        <f t="shared" si="0"/>
        <v>18278.6654010401</v>
      </c>
      <c r="F114" s="32">
        <f t="shared" si="1"/>
        <v>9519.82379083506</v>
      </c>
      <c r="G114" s="32">
        <f t="shared" si="2"/>
        <v>8758.84161020501</v>
      </c>
      <c r="H114" s="32">
        <f t="shared" si="3"/>
        <v>3506253.0196212</v>
      </c>
      <c r="I114" s="32">
        <f t="shared" si="4"/>
        <v>0</v>
      </c>
      <c r="J114" s="32">
        <f t="shared" si="5"/>
        <v>18278.6654010401</v>
      </c>
      <c r="K114" s="18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Height="1" spans="1:26">
      <c r="A115" s="2"/>
      <c r="B115" s="28">
        <f t="shared" si="6"/>
        <v>90</v>
      </c>
      <c r="C115" s="17">
        <v>46844</v>
      </c>
      <c r="D115" s="32">
        <f t="shared" si="7"/>
        <v>3506253.0196212</v>
      </c>
      <c r="E115" s="32">
        <f t="shared" si="0"/>
        <v>18278.6654010401</v>
      </c>
      <c r="F115" s="32">
        <f t="shared" si="1"/>
        <v>9496.10192814076</v>
      </c>
      <c r="G115" s="32">
        <f t="shared" si="2"/>
        <v>8782.56347289931</v>
      </c>
      <c r="H115" s="32">
        <f t="shared" si="3"/>
        <v>3497470.4561483</v>
      </c>
      <c r="I115" s="32">
        <f t="shared" si="4"/>
        <v>0</v>
      </c>
      <c r="J115" s="32">
        <f t="shared" si="5"/>
        <v>18278.6654010401</v>
      </c>
      <c r="K115" s="18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Height="1" spans="1:26">
      <c r="A116" s="2"/>
      <c r="B116" s="28">
        <f t="shared" si="6"/>
        <v>91</v>
      </c>
      <c r="C116" s="17">
        <v>46874</v>
      </c>
      <c r="D116" s="32">
        <f t="shared" si="7"/>
        <v>3497470.4561483</v>
      </c>
      <c r="E116" s="32">
        <f t="shared" si="0"/>
        <v>18278.6654010401</v>
      </c>
      <c r="F116" s="32">
        <f t="shared" si="1"/>
        <v>9472.31581873499</v>
      </c>
      <c r="G116" s="32">
        <f t="shared" si="2"/>
        <v>8806.34958230508</v>
      </c>
      <c r="H116" s="32">
        <f t="shared" si="3"/>
        <v>3488664.106566</v>
      </c>
      <c r="I116" s="32">
        <f t="shared" si="4"/>
        <v>0</v>
      </c>
      <c r="J116" s="32">
        <f t="shared" si="5"/>
        <v>18278.6654010401</v>
      </c>
      <c r="K116" s="18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Height="1" spans="1:26">
      <c r="A117" s="2"/>
      <c r="B117" s="28">
        <f t="shared" si="6"/>
        <v>92</v>
      </c>
      <c r="C117" s="17">
        <v>46905</v>
      </c>
      <c r="D117" s="32">
        <f t="shared" si="7"/>
        <v>3488664.106566</v>
      </c>
      <c r="E117" s="32">
        <f t="shared" si="0"/>
        <v>18278.6654010401</v>
      </c>
      <c r="F117" s="32">
        <f t="shared" si="1"/>
        <v>9448.46528861624</v>
      </c>
      <c r="G117" s="32">
        <f t="shared" si="2"/>
        <v>8830.20011242382</v>
      </c>
      <c r="H117" s="32">
        <f t="shared" si="3"/>
        <v>3479833.90645357</v>
      </c>
      <c r="I117" s="32">
        <f t="shared" si="4"/>
        <v>0</v>
      </c>
      <c r="J117" s="32">
        <f t="shared" si="5"/>
        <v>18278.6654010401</v>
      </c>
      <c r="K117" s="18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Height="1" spans="1:26">
      <c r="A118" s="2"/>
      <c r="B118" s="28">
        <f t="shared" si="6"/>
        <v>93</v>
      </c>
      <c r="C118" s="17">
        <v>46935</v>
      </c>
      <c r="D118" s="32">
        <f t="shared" si="7"/>
        <v>3479833.90645357</v>
      </c>
      <c r="E118" s="32">
        <f t="shared" si="0"/>
        <v>18278.6654010401</v>
      </c>
      <c r="F118" s="32">
        <f t="shared" si="1"/>
        <v>9424.55016331176</v>
      </c>
      <c r="G118" s="32">
        <f t="shared" si="2"/>
        <v>8854.11523772831</v>
      </c>
      <c r="H118" s="32">
        <f t="shared" si="3"/>
        <v>3470979.79121585</v>
      </c>
      <c r="I118" s="32">
        <f t="shared" si="4"/>
        <v>0</v>
      </c>
      <c r="J118" s="32">
        <f t="shared" si="5"/>
        <v>18278.6654010401</v>
      </c>
      <c r="K118" s="18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Height="1" spans="1:26">
      <c r="A119" s="2"/>
      <c r="B119" s="28">
        <f t="shared" si="6"/>
        <v>94</v>
      </c>
      <c r="C119" s="17">
        <v>46966</v>
      </c>
      <c r="D119" s="32">
        <f t="shared" si="7"/>
        <v>3470979.79121585</v>
      </c>
      <c r="E119" s="32">
        <f t="shared" si="0"/>
        <v>18278.6654010401</v>
      </c>
      <c r="F119" s="32">
        <f t="shared" si="1"/>
        <v>9400.57026787625</v>
      </c>
      <c r="G119" s="32">
        <f t="shared" si="2"/>
        <v>8878.09513316382</v>
      </c>
      <c r="H119" s="32">
        <f t="shared" si="3"/>
        <v>3462101.69608268</v>
      </c>
      <c r="I119" s="32">
        <f t="shared" si="4"/>
        <v>0</v>
      </c>
      <c r="J119" s="32">
        <f t="shared" si="5"/>
        <v>18278.6654010401</v>
      </c>
      <c r="K119" s="18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Height="1" spans="1:26">
      <c r="A120" s="2"/>
      <c r="B120" s="28">
        <f t="shared" si="6"/>
        <v>95</v>
      </c>
      <c r="C120" s="17">
        <v>46997</v>
      </c>
      <c r="D120" s="32">
        <f t="shared" si="7"/>
        <v>3462101.69608268</v>
      </c>
      <c r="E120" s="32">
        <f t="shared" si="0"/>
        <v>18278.6654010401</v>
      </c>
      <c r="F120" s="32">
        <f t="shared" si="1"/>
        <v>9376.5254268906</v>
      </c>
      <c r="G120" s="32">
        <f t="shared" si="2"/>
        <v>8902.13997414947</v>
      </c>
      <c r="H120" s="32">
        <f t="shared" si="3"/>
        <v>3453199.55610853</v>
      </c>
      <c r="I120" s="32">
        <f t="shared" si="4"/>
        <v>0</v>
      </c>
      <c r="J120" s="32">
        <f t="shared" si="5"/>
        <v>18278.6654010401</v>
      </c>
      <c r="K120" s="18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Height="1" spans="1:26">
      <c r="A121" s="2"/>
      <c r="B121" s="28">
        <f t="shared" si="6"/>
        <v>96</v>
      </c>
      <c r="C121" s="17">
        <v>47027</v>
      </c>
      <c r="D121" s="32">
        <f t="shared" si="7"/>
        <v>3453199.55610853</v>
      </c>
      <c r="E121" s="32">
        <f t="shared" si="0"/>
        <v>18278.6654010401</v>
      </c>
      <c r="F121" s="32">
        <f t="shared" si="1"/>
        <v>9352.41546446061</v>
      </c>
      <c r="G121" s="32">
        <f t="shared" si="2"/>
        <v>8926.24993657946</v>
      </c>
      <c r="H121" s="32">
        <f t="shared" si="3"/>
        <v>3444273.30617195</v>
      </c>
      <c r="I121" s="32">
        <f t="shared" si="4"/>
        <v>0</v>
      </c>
      <c r="J121" s="32">
        <f t="shared" si="5"/>
        <v>18278.6654010401</v>
      </c>
      <c r="K121" s="18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Height="1" spans="1:26">
      <c r="A122" s="2"/>
      <c r="B122" s="28">
        <f t="shared" si="6"/>
        <v>97</v>
      </c>
      <c r="C122" s="17">
        <v>47058</v>
      </c>
      <c r="D122" s="32">
        <f t="shared" si="7"/>
        <v>3444273.30617195</v>
      </c>
      <c r="E122" s="32">
        <f t="shared" si="0"/>
        <v>18278.6654010401</v>
      </c>
      <c r="F122" s="32">
        <f t="shared" si="1"/>
        <v>9328.24020421571</v>
      </c>
      <c r="G122" s="32">
        <f t="shared" si="2"/>
        <v>8950.42519682436</v>
      </c>
      <c r="H122" s="32">
        <f t="shared" si="3"/>
        <v>3435322.88097513</v>
      </c>
      <c r="I122" s="32">
        <f t="shared" si="4"/>
        <v>0</v>
      </c>
      <c r="J122" s="32">
        <f t="shared" si="5"/>
        <v>18278.6654010401</v>
      </c>
      <c r="K122" s="32">
        <f>SUM(I122:I133)</f>
        <v>0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Height="1" spans="1:26">
      <c r="A123" s="2"/>
      <c r="B123" s="28">
        <f t="shared" si="6"/>
        <v>98</v>
      </c>
      <c r="C123" s="17">
        <v>47088</v>
      </c>
      <c r="D123" s="32">
        <f t="shared" si="7"/>
        <v>3435322.88097513</v>
      </c>
      <c r="E123" s="32">
        <f t="shared" si="0"/>
        <v>18278.6654010401</v>
      </c>
      <c r="F123" s="32">
        <f t="shared" si="1"/>
        <v>9303.99946930764</v>
      </c>
      <c r="G123" s="32">
        <f t="shared" si="2"/>
        <v>8974.66593173243</v>
      </c>
      <c r="H123" s="32">
        <f t="shared" si="3"/>
        <v>3426348.2150434</v>
      </c>
      <c r="I123" s="32">
        <f t="shared" si="4"/>
        <v>0</v>
      </c>
      <c r="J123" s="32">
        <f t="shared" si="5"/>
        <v>18278.6654010401</v>
      </c>
      <c r="K123" s="18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Height="1" spans="1:26">
      <c r="A124" s="2"/>
      <c r="B124" s="28">
        <f t="shared" si="6"/>
        <v>99</v>
      </c>
      <c r="C124" s="17">
        <v>47119</v>
      </c>
      <c r="D124" s="32">
        <f t="shared" si="7"/>
        <v>3426348.2150434</v>
      </c>
      <c r="E124" s="32">
        <f t="shared" si="0"/>
        <v>18278.6654010401</v>
      </c>
      <c r="F124" s="32">
        <f t="shared" si="1"/>
        <v>9279.6930824092</v>
      </c>
      <c r="G124" s="32">
        <f t="shared" si="2"/>
        <v>8998.97231863087</v>
      </c>
      <c r="H124" s="32">
        <f t="shared" si="3"/>
        <v>3417349.24272477</v>
      </c>
      <c r="I124" s="32">
        <f t="shared" si="4"/>
        <v>0</v>
      </c>
      <c r="J124" s="32">
        <f t="shared" si="5"/>
        <v>18278.6654010401</v>
      </c>
      <c r="K124" s="18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Height="1" spans="1:26">
      <c r="A125" s="2"/>
      <c r="B125" s="28">
        <f t="shared" si="6"/>
        <v>100</v>
      </c>
      <c r="C125" s="17">
        <v>47150</v>
      </c>
      <c r="D125" s="32">
        <f t="shared" si="7"/>
        <v>3417349.24272477</v>
      </c>
      <c r="E125" s="32">
        <f t="shared" si="0"/>
        <v>18278.6654010401</v>
      </c>
      <c r="F125" s="32">
        <f t="shared" si="1"/>
        <v>9255.32086571291</v>
      </c>
      <c r="G125" s="32">
        <f t="shared" si="2"/>
        <v>9023.34453532716</v>
      </c>
      <c r="H125" s="32">
        <f t="shared" si="3"/>
        <v>3408325.89818944</v>
      </c>
      <c r="I125" s="32">
        <f t="shared" si="4"/>
        <v>0</v>
      </c>
      <c r="J125" s="32">
        <f t="shared" si="5"/>
        <v>18278.6654010401</v>
      </c>
      <c r="K125" s="18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Height="1" spans="1:26">
      <c r="A126" s="2"/>
      <c r="B126" s="28">
        <f t="shared" si="6"/>
        <v>101</v>
      </c>
      <c r="C126" s="17">
        <v>47178</v>
      </c>
      <c r="D126" s="32">
        <f t="shared" si="7"/>
        <v>3408325.89818944</v>
      </c>
      <c r="E126" s="32">
        <f t="shared" si="0"/>
        <v>18278.6654010401</v>
      </c>
      <c r="F126" s="32">
        <f t="shared" si="1"/>
        <v>9230.88264092973</v>
      </c>
      <c r="G126" s="32">
        <f t="shared" si="2"/>
        <v>9047.78276011034</v>
      </c>
      <c r="H126" s="32">
        <f t="shared" si="3"/>
        <v>3399278.11542933</v>
      </c>
      <c r="I126" s="32">
        <f t="shared" si="4"/>
        <v>0</v>
      </c>
      <c r="J126" s="32">
        <f t="shared" si="5"/>
        <v>18278.6654010401</v>
      </c>
      <c r="K126" s="18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Height="1" spans="1:26">
      <c r="A127" s="2"/>
      <c r="B127" s="28">
        <f t="shared" si="6"/>
        <v>102</v>
      </c>
      <c r="C127" s="17">
        <v>47209</v>
      </c>
      <c r="D127" s="32">
        <f t="shared" si="7"/>
        <v>3399278.11542933</v>
      </c>
      <c r="E127" s="32">
        <f t="shared" si="0"/>
        <v>18278.6654010401</v>
      </c>
      <c r="F127" s="32">
        <f t="shared" si="1"/>
        <v>9206.37822928776</v>
      </c>
      <c r="G127" s="32">
        <f t="shared" si="2"/>
        <v>9072.2871717523</v>
      </c>
      <c r="H127" s="32">
        <f t="shared" si="3"/>
        <v>3390205.82825758</v>
      </c>
      <c r="I127" s="32">
        <f t="shared" si="4"/>
        <v>0</v>
      </c>
      <c r="J127" s="32">
        <f t="shared" si="5"/>
        <v>18278.6654010401</v>
      </c>
      <c r="K127" s="18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Height="1" spans="1:26">
      <c r="A128" s="2"/>
      <c r="B128" s="28">
        <f t="shared" si="6"/>
        <v>103</v>
      </c>
      <c r="C128" s="17">
        <v>47239</v>
      </c>
      <c r="D128" s="32">
        <f t="shared" si="7"/>
        <v>3390205.82825758</v>
      </c>
      <c r="E128" s="32">
        <f t="shared" si="0"/>
        <v>18278.6654010401</v>
      </c>
      <c r="F128" s="32">
        <f t="shared" si="1"/>
        <v>9181.80745153094</v>
      </c>
      <c r="G128" s="32">
        <f t="shared" si="2"/>
        <v>9096.85794950913</v>
      </c>
      <c r="H128" s="32">
        <f t="shared" si="3"/>
        <v>3381108.97030807</v>
      </c>
      <c r="I128" s="32">
        <f t="shared" si="4"/>
        <v>0</v>
      </c>
      <c r="J128" s="32">
        <f t="shared" si="5"/>
        <v>18278.6654010401</v>
      </c>
      <c r="K128" s="18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Height="1" spans="1:26">
      <c r="A129" s="2"/>
      <c r="B129" s="28">
        <f t="shared" si="6"/>
        <v>104</v>
      </c>
      <c r="C129" s="17">
        <v>47270</v>
      </c>
      <c r="D129" s="32">
        <f t="shared" si="7"/>
        <v>3381108.97030807</v>
      </c>
      <c r="E129" s="32">
        <f t="shared" si="0"/>
        <v>18278.6654010401</v>
      </c>
      <c r="F129" s="32">
        <f t="shared" si="1"/>
        <v>9157.17012791768</v>
      </c>
      <c r="G129" s="32">
        <f t="shared" si="2"/>
        <v>9121.49527312239</v>
      </c>
      <c r="H129" s="32">
        <f t="shared" si="3"/>
        <v>3371987.47503494</v>
      </c>
      <c r="I129" s="32">
        <f t="shared" si="4"/>
        <v>0</v>
      </c>
      <c r="J129" s="32">
        <f t="shared" si="5"/>
        <v>18278.6654010401</v>
      </c>
      <c r="K129" s="18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Height="1" spans="1:26">
      <c r="A130" s="2"/>
      <c r="B130" s="28">
        <f t="shared" si="6"/>
        <v>105</v>
      </c>
      <c r="C130" s="17">
        <v>47300</v>
      </c>
      <c r="D130" s="32">
        <f t="shared" si="7"/>
        <v>3371987.47503494</v>
      </c>
      <c r="E130" s="32">
        <f t="shared" si="0"/>
        <v>18278.6654010401</v>
      </c>
      <c r="F130" s="32">
        <f t="shared" si="1"/>
        <v>9132.46607821964</v>
      </c>
      <c r="G130" s="32">
        <f t="shared" si="2"/>
        <v>9146.19932282043</v>
      </c>
      <c r="H130" s="32">
        <f t="shared" si="3"/>
        <v>3362841.27571212</v>
      </c>
      <c r="I130" s="32">
        <f t="shared" si="4"/>
        <v>0</v>
      </c>
      <c r="J130" s="32">
        <f t="shared" si="5"/>
        <v>18278.6654010401</v>
      </c>
      <c r="K130" s="18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Height="1" spans="1:26">
      <c r="A131" s="2"/>
      <c r="B131" s="28">
        <f t="shared" si="6"/>
        <v>106</v>
      </c>
      <c r="C131" s="17">
        <v>47331</v>
      </c>
      <c r="D131" s="32">
        <f t="shared" si="7"/>
        <v>3362841.27571212</v>
      </c>
      <c r="E131" s="32">
        <f t="shared" si="0"/>
        <v>18278.6654010401</v>
      </c>
      <c r="F131" s="32">
        <f t="shared" si="1"/>
        <v>9107.69512172033</v>
      </c>
      <c r="G131" s="32">
        <f t="shared" si="2"/>
        <v>9170.97027931973</v>
      </c>
      <c r="H131" s="32">
        <f t="shared" si="3"/>
        <v>3353670.3054328</v>
      </c>
      <c r="I131" s="32">
        <f t="shared" si="4"/>
        <v>0</v>
      </c>
      <c r="J131" s="32">
        <f t="shared" si="5"/>
        <v>18278.6654010401</v>
      </c>
      <c r="K131" s="18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Height="1" spans="1:26">
      <c r="A132" s="2"/>
      <c r="B132" s="28">
        <f t="shared" si="6"/>
        <v>107</v>
      </c>
      <c r="C132" s="17">
        <v>47362</v>
      </c>
      <c r="D132" s="32">
        <f t="shared" si="7"/>
        <v>3353670.3054328</v>
      </c>
      <c r="E132" s="32">
        <f t="shared" si="0"/>
        <v>18278.6654010401</v>
      </c>
      <c r="F132" s="32">
        <f t="shared" si="1"/>
        <v>9082.85707721384</v>
      </c>
      <c r="G132" s="32">
        <f t="shared" si="2"/>
        <v>9195.80832382622</v>
      </c>
      <c r="H132" s="32">
        <f t="shared" si="3"/>
        <v>3344474.49710898</v>
      </c>
      <c r="I132" s="32">
        <f t="shared" si="4"/>
        <v>0</v>
      </c>
      <c r="J132" s="32">
        <f t="shared" si="5"/>
        <v>18278.6654010401</v>
      </c>
      <c r="K132" s="18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Height="1" spans="1:26">
      <c r="A133" s="2"/>
      <c r="B133" s="28">
        <f t="shared" si="6"/>
        <v>108</v>
      </c>
      <c r="C133" s="17">
        <v>47392</v>
      </c>
      <c r="D133" s="32">
        <f t="shared" si="7"/>
        <v>3344474.49710898</v>
      </c>
      <c r="E133" s="32">
        <f t="shared" si="0"/>
        <v>18278.6654010401</v>
      </c>
      <c r="F133" s="32">
        <f t="shared" si="1"/>
        <v>9057.95176300348</v>
      </c>
      <c r="G133" s="32">
        <f t="shared" si="2"/>
        <v>9220.71363803658</v>
      </c>
      <c r="H133" s="32">
        <f t="shared" si="3"/>
        <v>3335253.78347094</v>
      </c>
      <c r="I133" s="32">
        <f t="shared" si="4"/>
        <v>0</v>
      </c>
      <c r="J133" s="32">
        <f t="shared" si="5"/>
        <v>18278.6654010401</v>
      </c>
      <c r="K133" s="18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Height="1" spans="1:26">
      <c r="A134" s="2"/>
      <c r="B134" s="28">
        <f t="shared" si="6"/>
        <v>109</v>
      </c>
      <c r="C134" s="17">
        <v>47423</v>
      </c>
      <c r="D134" s="32">
        <f t="shared" si="7"/>
        <v>3335253.78347094</v>
      </c>
      <c r="E134" s="32">
        <f t="shared" si="0"/>
        <v>18278.6654010401</v>
      </c>
      <c r="F134" s="32">
        <f t="shared" si="1"/>
        <v>9032.97899690047</v>
      </c>
      <c r="G134" s="32">
        <f t="shared" si="2"/>
        <v>9245.6864041396</v>
      </c>
      <c r="H134" s="32">
        <f t="shared" si="3"/>
        <v>3326008.0970668</v>
      </c>
      <c r="I134" s="32">
        <f t="shared" si="4"/>
        <v>0</v>
      </c>
      <c r="J134" s="32">
        <f t="shared" si="5"/>
        <v>18278.6654010401</v>
      </c>
      <c r="K134" s="32">
        <f>SUM(I134:I145)</f>
        <v>0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Height="1" spans="1:26">
      <c r="A135" s="2"/>
      <c r="B135" s="28">
        <f t="shared" si="6"/>
        <v>110</v>
      </c>
      <c r="C135" s="17">
        <v>47453</v>
      </c>
      <c r="D135" s="32">
        <f t="shared" si="7"/>
        <v>3326008.0970668</v>
      </c>
      <c r="E135" s="32">
        <f t="shared" si="0"/>
        <v>18278.6654010401</v>
      </c>
      <c r="F135" s="32">
        <f t="shared" si="1"/>
        <v>9007.93859622259</v>
      </c>
      <c r="G135" s="32">
        <f t="shared" si="2"/>
        <v>9270.72680481748</v>
      </c>
      <c r="H135" s="32">
        <f t="shared" si="3"/>
        <v>3316737.37026198</v>
      </c>
      <c r="I135" s="32">
        <f t="shared" si="4"/>
        <v>0</v>
      </c>
      <c r="J135" s="32">
        <f t="shared" si="5"/>
        <v>18278.6654010401</v>
      </c>
      <c r="K135" s="18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Height="1" spans="1:26">
      <c r="A136" s="2"/>
      <c r="B136" s="28">
        <f t="shared" si="6"/>
        <v>111</v>
      </c>
      <c r="C136" s="17">
        <v>47484</v>
      </c>
      <c r="D136" s="32">
        <f t="shared" si="7"/>
        <v>3316737.37026198</v>
      </c>
      <c r="E136" s="32">
        <f t="shared" si="0"/>
        <v>18278.6654010401</v>
      </c>
      <c r="F136" s="32">
        <f t="shared" si="1"/>
        <v>8982.83037779287</v>
      </c>
      <c r="G136" s="32">
        <f t="shared" si="2"/>
        <v>9295.83502324719</v>
      </c>
      <c r="H136" s="32">
        <f t="shared" si="3"/>
        <v>3307441.53523874</v>
      </c>
      <c r="I136" s="32">
        <f t="shared" si="4"/>
        <v>0</v>
      </c>
      <c r="J136" s="32">
        <f t="shared" si="5"/>
        <v>18278.6654010401</v>
      </c>
      <c r="K136" s="18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Height="1" spans="1:26">
      <c r="A137" s="2"/>
      <c r="B137" s="28">
        <f t="shared" si="6"/>
        <v>112</v>
      </c>
      <c r="C137" s="17">
        <v>47515</v>
      </c>
      <c r="D137" s="32">
        <f t="shared" si="7"/>
        <v>3307441.53523874</v>
      </c>
      <c r="E137" s="32">
        <f t="shared" si="0"/>
        <v>18278.6654010401</v>
      </c>
      <c r="F137" s="32">
        <f t="shared" si="1"/>
        <v>8957.65415793825</v>
      </c>
      <c r="G137" s="32">
        <f t="shared" si="2"/>
        <v>9321.01124310182</v>
      </c>
      <c r="H137" s="32">
        <f t="shared" si="3"/>
        <v>3298120.52399564</v>
      </c>
      <c r="I137" s="32">
        <f t="shared" si="4"/>
        <v>0</v>
      </c>
      <c r="J137" s="32">
        <f t="shared" si="5"/>
        <v>18278.6654010401</v>
      </c>
      <c r="K137" s="18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Height="1" spans="1:26">
      <c r="A138" s="2"/>
      <c r="B138" s="28">
        <f t="shared" si="6"/>
        <v>113</v>
      </c>
      <c r="C138" s="17">
        <v>47543</v>
      </c>
      <c r="D138" s="32">
        <f t="shared" si="7"/>
        <v>3298120.52399564</v>
      </c>
      <c r="E138" s="32">
        <f t="shared" si="0"/>
        <v>18278.6654010401</v>
      </c>
      <c r="F138" s="32">
        <f t="shared" si="1"/>
        <v>8932.40975248818</v>
      </c>
      <c r="G138" s="32">
        <f t="shared" si="2"/>
        <v>9346.25564855189</v>
      </c>
      <c r="H138" s="32">
        <f t="shared" si="3"/>
        <v>3288774.26834708</v>
      </c>
      <c r="I138" s="32">
        <f t="shared" si="4"/>
        <v>0</v>
      </c>
      <c r="J138" s="32">
        <f t="shared" si="5"/>
        <v>18278.6654010401</v>
      </c>
      <c r="K138" s="18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Height="1" spans="1:26">
      <c r="A139" s="2"/>
      <c r="B139" s="28">
        <f t="shared" si="6"/>
        <v>114</v>
      </c>
      <c r="C139" s="17">
        <v>47574</v>
      </c>
      <c r="D139" s="32">
        <f t="shared" si="7"/>
        <v>3288774.26834708</v>
      </c>
      <c r="E139" s="32">
        <f t="shared" si="0"/>
        <v>18278.6654010401</v>
      </c>
      <c r="F139" s="32">
        <f t="shared" si="1"/>
        <v>8907.09697677335</v>
      </c>
      <c r="G139" s="32">
        <f t="shared" si="2"/>
        <v>9371.56842426672</v>
      </c>
      <c r="H139" s="32">
        <f t="shared" si="3"/>
        <v>3279402.69992282</v>
      </c>
      <c r="I139" s="32">
        <f t="shared" si="4"/>
        <v>0</v>
      </c>
      <c r="J139" s="32">
        <f t="shared" si="5"/>
        <v>18278.6654010401</v>
      </c>
      <c r="K139" s="18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Height="1" spans="1:26">
      <c r="A140" s="2"/>
      <c r="B140" s="28">
        <f t="shared" si="6"/>
        <v>115</v>
      </c>
      <c r="C140" s="17">
        <v>47604</v>
      </c>
      <c r="D140" s="32">
        <f t="shared" si="7"/>
        <v>3279402.69992282</v>
      </c>
      <c r="E140" s="32">
        <f t="shared" si="0"/>
        <v>18278.6654010401</v>
      </c>
      <c r="F140" s="32">
        <f t="shared" si="1"/>
        <v>8881.71564562429</v>
      </c>
      <c r="G140" s="32">
        <f t="shared" si="2"/>
        <v>9396.94975541577</v>
      </c>
      <c r="H140" s="32">
        <f t="shared" si="3"/>
        <v>3270005.7501674</v>
      </c>
      <c r="I140" s="32">
        <f t="shared" si="4"/>
        <v>0</v>
      </c>
      <c r="J140" s="32">
        <f t="shared" si="5"/>
        <v>18278.6654010401</v>
      </c>
      <c r="K140" s="18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Height="1" spans="1:26">
      <c r="A141" s="2"/>
      <c r="B141" s="28">
        <f t="shared" si="6"/>
        <v>116</v>
      </c>
      <c r="C141" s="17">
        <v>47635</v>
      </c>
      <c r="D141" s="32">
        <f t="shared" si="7"/>
        <v>3270005.7501674</v>
      </c>
      <c r="E141" s="32">
        <f t="shared" si="0"/>
        <v>18278.6654010401</v>
      </c>
      <c r="F141" s="32">
        <f t="shared" si="1"/>
        <v>8856.26557337004</v>
      </c>
      <c r="G141" s="32">
        <f t="shared" si="2"/>
        <v>9422.39982767002</v>
      </c>
      <c r="H141" s="32">
        <f t="shared" si="3"/>
        <v>3260583.35033973</v>
      </c>
      <c r="I141" s="32">
        <f t="shared" si="4"/>
        <v>0</v>
      </c>
      <c r="J141" s="32">
        <f t="shared" si="5"/>
        <v>18278.6654010401</v>
      </c>
      <c r="K141" s="18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Height="1" spans="1:26">
      <c r="A142" s="2"/>
      <c r="B142" s="28">
        <f t="shared" si="6"/>
        <v>117</v>
      </c>
      <c r="C142" s="17">
        <v>47665</v>
      </c>
      <c r="D142" s="32">
        <f t="shared" si="7"/>
        <v>3260583.35033973</v>
      </c>
      <c r="E142" s="32">
        <f t="shared" si="0"/>
        <v>18278.6654010401</v>
      </c>
      <c r="F142" s="32">
        <f t="shared" si="1"/>
        <v>8830.74657383677</v>
      </c>
      <c r="G142" s="32">
        <f t="shared" si="2"/>
        <v>9447.9188272033</v>
      </c>
      <c r="H142" s="32">
        <f t="shared" si="3"/>
        <v>3251135.43151253</v>
      </c>
      <c r="I142" s="32">
        <f t="shared" si="4"/>
        <v>0</v>
      </c>
      <c r="J142" s="32">
        <f t="shared" si="5"/>
        <v>18278.6654010401</v>
      </c>
      <c r="K142" s="18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Height="1" spans="1:26">
      <c r="A143" s="2"/>
      <c r="B143" s="28">
        <f t="shared" si="6"/>
        <v>118</v>
      </c>
      <c r="C143" s="17">
        <v>47696</v>
      </c>
      <c r="D143" s="32">
        <f t="shared" si="7"/>
        <v>3251135.43151253</v>
      </c>
      <c r="E143" s="32">
        <f t="shared" si="0"/>
        <v>18278.6654010401</v>
      </c>
      <c r="F143" s="32">
        <f t="shared" si="1"/>
        <v>8805.15846034643</v>
      </c>
      <c r="G143" s="32">
        <f t="shared" si="2"/>
        <v>9473.50694069364</v>
      </c>
      <c r="H143" s="32">
        <f t="shared" si="3"/>
        <v>3241661.92457183</v>
      </c>
      <c r="I143" s="32">
        <f t="shared" si="4"/>
        <v>0</v>
      </c>
      <c r="J143" s="32">
        <f t="shared" si="5"/>
        <v>18278.6654010401</v>
      </c>
      <c r="K143" s="18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Height="1" spans="1:26">
      <c r="A144" s="2"/>
      <c r="B144" s="28">
        <f t="shared" si="6"/>
        <v>119</v>
      </c>
      <c r="C144" s="17">
        <v>47727</v>
      </c>
      <c r="D144" s="32">
        <f t="shared" si="7"/>
        <v>3241661.92457183</v>
      </c>
      <c r="E144" s="32">
        <f t="shared" si="0"/>
        <v>18278.6654010401</v>
      </c>
      <c r="F144" s="32">
        <f t="shared" si="1"/>
        <v>8779.50104571538</v>
      </c>
      <c r="G144" s="32">
        <f t="shared" si="2"/>
        <v>9499.16435532468</v>
      </c>
      <c r="H144" s="32">
        <f t="shared" si="3"/>
        <v>3232162.76021651</v>
      </c>
      <c r="I144" s="32">
        <f t="shared" si="4"/>
        <v>0</v>
      </c>
      <c r="J144" s="32">
        <f t="shared" si="5"/>
        <v>18278.6654010401</v>
      </c>
      <c r="K144" s="18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Height="1" spans="1:26">
      <c r="A145" s="2"/>
      <c r="B145" s="28">
        <f t="shared" si="6"/>
        <v>120</v>
      </c>
      <c r="C145" s="17">
        <v>47757</v>
      </c>
      <c r="D145" s="32">
        <f t="shared" si="7"/>
        <v>3232162.76021651</v>
      </c>
      <c r="E145" s="32">
        <f t="shared" si="0"/>
        <v>18278.6654010401</v>
      </c>
      <c r="F145" s="32">
        <f t="shared" si="1"/>
        <v>8753.77414225305</v>
      </c>
      <c r="G145" s="32">
        <f t="shared" si="2"/>
        <v>9524.89125878702</v>
      </c>
      <c r="H145" s="32">
        <f t="shared" si="3"/>
        <v>3222637.86895772</v>
      </c>
      <c r="I145" s="32">
        <f t="shared" si="4"/>
        <v>0</v>
      </c>
      <c r="J145" s="32">
        <f t="shared" si="5"/>
        <v>18278.6654010401</v>
      </c>
      <c r="K145" s="18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Height="1" spans="1:26">
      <c r="A146" s="2"/>
      <c r="B146" s="28">
        <f t="shared" si="6"/>
        <v>121</v>
      </c>
      <c r="C146" s="17">
        <v>47788</v>
      </c>
      <c r="D146" s="32">
        <f t="shared" si="7"/>
        <v>3222637.86895772</v>
      </c>
      <c r="E146" s="32">
        <f t="shared" si="0"/>
        <v>18278.6654010401</v>
      </c>
      <c r="F146" s="32">
        <f t="shared" si="1"/>
        <v>8727.9775617605</v>
      </c>
      <c r="G146" s="32">
        <f t="shared" si="2"/>
        <v>9550.68783927957</v>
      </c>
      <c r="H146" s="32">
        <f t="shared" si="3"/>
        <v>3213087.18111844</v>
      </c>
      <c r="I146" s="32">
        <f t="shared" si="4"/>
        <v>0</v>
      </c>
      <c r="J146" s="32">
        <f t="shared" si="5"/>
        <v>18278.6654010401</v>
      </c>
      <c r="K146" s="32">
        <f>SUM(I146:I157)</f>
        <v>0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Height="1" spans="1:26">
      <c r="A147" s="2"/>
      <c r="B147" s="28">
        <f t="shared" si="6"/>
        <v>122</v>
      </c>
      <c r="C147" s="17">
        <v>47818</v>
      </c>
      <c r="D147" s="32">
        <f t="shared" si="7"/>
        <v>3213087.18111844</v>
      </c>
      <c r="E147" s="32">
        <f t="shared" si="0"/>
        <v>18278.6654010401</v>
      </c>
      <c r="F147" s="32">
        <f t="shared" si="1"/>
        <v>8702.11111552912</v>
      </c>
      <c r="G147" s="32">
        <f t="shared" si="2"/>
        <v>9576.55428551095</v>
      </c>
      <c r="H147" s="32">
        <f t="shared" si="3"/>
        <v>3203510.62683293</v>
      </c>
      <c r="I147" s="32">
        <f t="shared" si="4"/>
        <v>0</v>
      </c>
      <c r="J147" s="32">
        <f t="shared" si="5"/>
        <v>18278.6654010401</v>
      </c>
      <c r="K147" s="18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Height="1" spans="1:26">
      <c r="A148" s="2"/>
      <c r="B148" s="28">
        <f t="shared" si="6"/>
        <v>123</v>
      </c>
      <c r="C148" s="17">
        <v>47849</v>
      </c>
      <c r="D148" s="32">
        <f t="shared" si="7"/>
        <v>3203510.62683293</v>
      </c>
      <c r="E148" s="32">
        <f t="shared" si="0"/>
        <v>18278.6654010401</v>
      </c>
      <c r="F148" s="32">
        <f t="shared" si="1"/>
        <v>8676.17461433919</v>
      </c>
      <c r="G148" s="32">
        <f t="shared" si="2"/>
        <v>9602.49078670088</v>
      </c>
      <c r="H148" s="32">
        <f t="shared" si="3"/>
        <v>3193908.13604623</v>
      </c>
      <c r="I148" s="32">
        <f t="shared" si="4"/>
        <v>0</v>
      </c>
      <c r="J148" s="32">
        <f t="shared" si="5"/>
        <v>18278.6654010401</v>
      </c>
      <c r="K148" s="18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Height="1" spans="1:26">
      <c r="A149" s="2"/>
      <c r="B149" s="28">
        <f t="shared" si="6"/>
        <v>124</v>
      </c>
      <c r="C149" s="17">
        <v>47880</v>
      </c>
      <c r="D149" s="32">
        <f t="shared" si="7"/>
        <v>3193908.13604623</v>
      </c>
      <c r="E149" s="32">
        <f t="shared" si="0"/>
        <v>18278.6654010401</v>
      </c>
      <c r="F149" s="32">
        <f t="shared" si="1"/>
        <v>8650.16786845854</v>
      </c>
      <c r="G149" s="32">
        <f t="shared" si="2"/>
        <v>9628.49753258152</v>
      </c>
      <c r="H149" s="32">
        <f t="shared" si="3"/>
        <v>3184279.63851365</v>
      </c>
      <c r="I149" s="32">
        <f t="shared" si="4"/>
        <v>0</v>
      </c>
      <c r="J149" s="32">
        <f t="shared" si="5"/>
        <v>18278.6654010401</v>
      </c>
      <c r="K149" s="18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Height="1" spans="1:26">
      <c r="A150" s="2"/>
      <c r="B150" s="28">
        <f t="shared" si="6"/>
        <v>125</v>
      </c>
      <c r="C150" s="17">
        <v>47908</v>
      </c>
      <c r="D150" s="32">
        <f t="shared" si="7"/>
        <v>3184279.63851365</v>
      </c>
      <c r="E150" s="32">
        <f t="shared" si="0"/>
        <v>18278.6654010401</v>
      </c>
      <c r="F150" s="32">
        <f t="shared" si="1"/>
        <v>8624.09068764114</v>
      </c>
      <c r="G150" s="32">
        <f t="shared" si="2"/>
        <v>9654.57471339893</v>
      </c>
      <c r="H150" s="32">
        <f t="shared" si="3"/>
        <v>3174625.06380025</v>
      </c>
      <c r="I150" s="32">
        <f t="shared" si="4"/>
        <v>0</v>
      </c>
      <c r="J150" s="32">
        <f t="shared" si="5"/>
        <v>18278.6654010401</v>
      </c>
      <c r="K150" s="18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Height="1" spans="1:26">
      <c r="A151" s="2"/>
      <c r="B151" s="28">
        <f t="shared" si="6"/>
        <v>126</v>
      </c>
      <c r="C151" s="17">
        <v>47939</v>
      </c>
      <c r="D151" s="32">
        <f t="shared" si="7"/>
        <v>3174625.06380025</v>
      </c>
      <c r="E151" s="32">
        <f t="shared" si="0"/>
        <v>18278.6654010401</v>
      </c>
      <c r="F151" s="32">
        <f t="shared" si="1"/>
        <v>8597.94288112568</v>
      </c>
      <c r="G151" s="32">
        <f t="shared" si="2"/>
        <v>9680.72251991439</v>
      </c>
      <c r="H151" s="32">
        <f t="shared" si="3"/>
        <v>3164944.34128034</v>
      </c>
      <c r="I151" s="32">
        <f t="shared" si="4"/>
        <v>0</v>
      </c>
      <c r="J151" s="32">
        <f t="shared" si="5"/>
        <v>18278.6654010401</v>
      </c>
      <c r="K151" s="18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Height="1" spans="1:26">
      <c r="A152" s="2"/>
      <c r="B152" s="28">
        <f t="shared" si="6"/>
        <v>127</v>
      </c>
      <c r="C152" s="17">
        <v>47969</v>
      </c>
      <c r="D152" s="32">
        <f t="shared" si="7"/>
        <v>3164944.34128034</v>
      </c>
      <c r="E152" s="32">
        <f t="shared" si="0"/>
        <v>18278.6654010401</v>
      </c>
      <c r="F152" s="32">
        <f t="shared" si="1"/>
        <v>8571.72425763425</v>
      </c>
      <c r="G152" s="32">
        <f t="shared" si="2"/>
        <v>9706.94114340582</v>
      </c>
      <c r="H152" s="32">
        <f t="shared" si="3"/>
        <v>3155237.40013693</v>
      </c>
      <c r="I152" s="32">
        <f t="shared" si="4"/>
        <v>0</v>
      </c>
      <c r="J152" s="32">
        <f t="shared" si="5"/>
        <v>18278.6654010401</v>
      </c>
      <c r="K152" s="18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Height="1" spans="1:26">
      <c r="A153" s="2"/>
      <c r="B153" s="28">
        <f t="shared" si="6"/>
        <v>128</v>
      </c>
      <c r="C153" s="17">
        <v>48000</v>
      </c>
      <c r="D153" s="32">
        <f t="shared" si="7"/>
        <v>3155237.40013693</v>
      </c>
      <c r="E153" s="32">
        <f t="shared" si="0"/>
        <v>18278.6654010401</v>
      </c>
      <c r="F153" s="32">
        <f t="shared" si="1"/>
        <v>8545.43462537086</v>
      </c>
      <c r="G153" s="32">
        <f t="shared" si="2"/>
        <v>9733.23077566921</v>
      </c>
      <c r="H153" s="32">
        <f t="shared" si="3"/>
        <v>3145504.16936126</v>
      </c>
      <c r="I153" s="32">
        <f t="shared" si="4"/>
        <v>0</v>
      </c>
      <c r="J153" s="32">
        <f t="shared" si="5"/>
        <v>18278.6654010401</v>
      </c>
      <c r="K153" s="18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Height="1" spans="1:26">
      <c r="A154" s="2"/>
      <c r="B154" s="28">
        <f t="shared" si="6"/>
        <v>129</v>
      </c>
      <c r="C154" s="17">
        <v>48030</v>
      </c>
      <c r="D154" s="32">
        <f t="shared" si="7"/>
        <v>3145504.16936126</v>
      </c>
      <c r="E154" s="32">
        <f t="shared" si="0"/>
        <v>18278.6654010401</v>
      </c>
      <c r="F154" s="32">
        <f t="shared" si="1"/>
        <v>8519.07379202008</v>
      </c>
      <c r="G154" s="32">
        <f t="shared" si="2"/>
        <v>9759.59160901998</v>
      </c>
      <c r="H154" s="32">
        <f t="shared" si="3"/>
        <v>3135744.57775224</v>
      </c>
      <c r="I154" s="32">
        <f t="shared" si="4"/>
        <v>0</v>
      </c>
      <c r="J154" s="32">
        <f t="shared" si="5"/>
        <v>18278.6654010401</v>
      </c>
      <c r="K154" s="18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Height="1" spans="1:26">
      <c r="A155" s="2"/>
      <c r="B155" s="28">
        <f t="shared" si="6"/>
        <v>130</v>
      </c>
      <c r="C155" s="17">
        <v>48061</v>
      </c>
      <c r="D155" s="32">
        <f t="shared" si="7"/>
        <v>3135744.57775224</v>
      </c>
      <c r="E155" s="32">
        <f t="shared" si="0"/>
        <v>18278.6654010401</v>
      </c>
      <c r="F155" s="32">
        <f t="shared" si="1"/>
        <v>8492.64156474566</v>
      </c>
      <c r="G155" s="32">
        <f t="shared" si="2"/>
        <v>9786.02383629441</v>
      </c>
      <c r="H155" s="32">
        <f t="shared" si="3"/>
        <v>3125958.55391595</v>
      </c>
      <c r="I155" s="32">
        <f t="shared" si="4"/>
        <v>0</v>
      </c>
      <c r="J155" s="32">
        <f t="shared" si="5"/>
        <v>18278.6654010401</v>
      </c>
      <c r="K155" s="18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Height="1" spans="1:26">
      <c r="A156" s="2"/>
      <c r="B156" s="28">
        <f t="shared" si="6"/>
        <v>131</v>
      </c>
      <c r="C156" s="17">
        <v>48092</v>
      </c>
      <c r="D156" s="32">
        <f t="shared" si="7"/>
        <v>3125958.55391595</v>
      </c>
      <c r="E156" s="32">
        <f t="shared" si="0"/>
        <v>18278.6654010401</v>
      </c>
      <c r="F156" s="32">
        <f t="shared" si="1"/>
        <v>8466.13775018903</v>
      </c>
      <c r="G156" s="32">
        <f t="shared" si="2"/>
        <v>9812.52765085104</v>
      </c>
      <c r="H156" s="32">
        <f t="shared" si="3"/>
        <v>3116146.0262651</v>
      </c>
      <c r="I156" s="32">
        <f t="shared" si="4"/>
        <v>0</v>
      </c>
      <c r="J156" s="32">
        <f t="shared" si="5"/>
        <v>18278.6654010401</v>
      </c>
      <c r="K156" s="18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Height="1" spans="1:26">
      <c r="A157" s="2"/>
      <c r="B157" s="28">
        <f t="shared" si="6"/>
        <v>132</v>
      </c>
      <c r="C157" s="17">
        <v>48122</v>
      </c>
      <c r="D157" s="32">
        <f t="shared" si="7"/>
        <v>3116146.0262651</v>
      </c>
      <c r="E157" s="32">
        <f t="shared" si="0"/>
        <v>18278.6654010401</v>
      </c>
      <c r="F157" s="32">
        <f t="shared" si="1"/>
        <v>8439.56215446797</v>
      </c>
      <c r="G157" s="32">
        <f t="shared" si="2"/>
        <v>9839.1032465721</v>
      </c>
      <c r="H157" s="32">
        <f t="shared" si="3"/>
        <v>3106306.92301852</v>
      </c>
      <c r="I157" s="32">
        <f t="shared" si="4"/>
        <v>0</v>
      </c>
      <c r="J157" s="32">
        <f t="shared" si="5"/>
        <v>18278.6654010401</v>
      </c>
      <c r="K157" s="18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Height="1" spans="1:26">
      <c r="A158" s="2"/>
      <c r="B158" s="28">
        <f t="shared" si="6"/>
        <v>133</v>
      </c>
      <c r="C158" s="17">
        <v>48153</v>
      </c>
      <c r="D158" s="32">
        <f t="shared" si="7"/>
        <v>3106306.92301852</v>
      </c>
      <c r="E158" s="32">
        <f t="shared" si="0"/>
        <v>18278.6654010401</v>
      </c>
      <c r="F158" s="32">
        <f t="shared" si="1"/>
        <v>8412.91458317517</v>
      </c>
      <c r="G158" s="32">
        <f t="shared" si="2"/>
        <v>9865.75081786489</v>
      </c>
      <c r="H158" s="32">
        <f t="shared" si="3"/>
        <v>3096441.17220066</v>
      </c>
      <c r="I158" s="32">
        <f t="shared" si="4"/>
        <v>0</v>
      </c>
      <c r="J158" s="32">
        <f t="shared" si="5"/>
        <v>18278.6654010401</v>
      </c>
      <c r="K158" s="32">
        <f>SUM(I158:I169)</f>
        <v>0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Height="1" spans="1:26">
      <c r="A159" s="2"/>
      <c r="B159" s="28">
        <f t="shared" si="6"/>
        <v>134</v>
      </c>
      <c r="C159" s="17">
        <v>48183</v>
      </c>
      <c r="D159" s="32">
        <f t="shared" si="7"/>
        <v>3096441.17220066</v>
      </c>
      <c r="E159" s="32">
        <f t="shared" si="0"/>
        <v>18278.6654010401</v>
      </c>
      <c r="F159" s="32">
        <f t="shared" si="1"/>
        <v>8386.19484137679</v>
      </c>
      <c r="G159" s="32">
        <f t="shared" si="2"/>
        <v>9892.47055966328</v>
      </c>
      <c r="H159" s="32">
        <f t="shared" si="3"/>
        <v>3086548.701641</v>
      </c>
      <c r="I159" s="32">
        <f t="shared" si="4"/>
        <v>0</v>
      </c>
      <c r="J159" s="32">
        <f t="shared" si="5"/>
        <v>18278.6654010401</v>
      </c>
      <c r="K159" s="18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Height="1" spans="1:26">
      <c r="A160" s="2"/>
      <c r="B160" s="28">
        <f t="shared" si="6"/>
        <v>135</v>
      </c>
      <c r="C160" s="17">
        <v>48214</v>
      </c>
      <c r="D160" s="32">
        <f t="shared" si="7"/>
        <v>3086548.701641</v>
      </c>
      <c r="E160" s="32">
        <f t="shared" si="0"/>
        <v>18278.6654010401</v>
      </c>
      <c r="F160" s="32">
        <f t="shared" si="1"/>
        <v>8359.40273361103</v>
      </c>
      <c r="G160" s="32">
        <f t="shared" si="2"/>
        <v>9919.26266742903</v>
      </c>
      <c r="H160" s="32">
        <f t="shared" si="3"/>
        <v>3076629.43897357</v>
      </c>
      <c r="I160" s="32">
        <f t="shared" si="4"/>
        <v>0</v>
      </c>
      <c r="J160" s="32">
        <f t="shared" si="5"/>
        <v>18278.6654010401</v>
      </c>
      <c r="K160" s="18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Height="1" spans="1:26">
      <c r="A161" s="2"/>
      <c r="B161" s="28">
        <f t="shared" si="6"/>
        <v>136</v>
      </c>
      <c r="C161" s="17">
        <v>48245</v>
      </c>
      <c r="D161" s="32">
        <f t="shared" si="7"/>
        <v>3076629.43897357</v>
      </c>
      <c r="E161" s="32">
        <f t="shared" si="0"/>
        <v>18278.6654010401</v>
      </c>
      <c r="F161" s="32">
        <f t="shared" si="1"/>
        <v>8332.53806388675</v>
      </c>
      <c r="G161" s="32">
        <f t="shared" si="2"/>
        <v>9946.12733715332</v>
      </c>
      <c r="H161" s="32">
        <f t="shared" si="3"/>
        <v>3066683.31163641</v>
      </c>
      <c r="I161" s="32">
        <f t="shared" si="4"/>
        <v>0</v>
      </c>
      <c r="J161" s="32">
        <f t="shared" si="5"/>
        <v>18278.6654010401</v>
      </c>
      <c r="K161" s="18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Height="1" spans="1:26">
      <c r="A162" s="2"/>
      <c r="B162" s="28">
        <f t="shared" si="6"/>
        <v>137</v>
      </c>
      <c r="C162" s="17">
        <v>48274</v>
      </c>
      <c r="D162" s="32">
        <f t="shared" si="7"/>
        <v>3066683.31163641</v>
      </c>
      <c r="E162" s="32">
        <f t="shared" si="0"/>
        <v>18278.6654010401</v>
      </c>
      <c r="F162" s="32">
        <f t="shared" si="1"/>
        <v>8305.60063568196</v>
      </c>
      <c r="G162" s="32">
        <f t="shared" si="2"/>
        <v>9973.06476535811</v>
      </c>
      <c r="H162" s="32">
        <f t="shared" si="3"/>
        <v>3056710.24687106</v>
      </c>
      <c r="I162" s="32">
        <f t="shared" si="4"/>
        <v>0</v>
      </c>
      <c r="J162" s="32">
        <f t="shared" si="5"/>
        <v>18278.6654010401</v>
      </c>
      <c r="K162" s="18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Height="1" spans="1:26">
      <c r="A163" s="2"/>
      <c r="B163" s="28">
        <f t="shared" si="6"/>
        <v>138</v>
      </c>
      <c r="C163" s="17">
        <v>48305</v>
      </c>
      <c r="D163" s="32">
        <f t="shared" si="7"/>
        <v>3056710.24687106</v>
      </c>
      <c r="E163" s="32">
        <f t="shared" si="0"/>
        <v>18278.6654010401</v>
      </c>
      <c r="F163" s="32">
        <f t="shared" si="1"/>
        <v>8278.59025194244</v>
      </c>
      <c r="G163" s="32">
        <f t="shared" si="2"/>
        <v>10000.0751490976</v>
      </c>
      <c r="H163" s="32">
        <f t="shared" si="3"/>
        <v>3046710.17172196</v>
      </c>
      <c r="I163" s="32">
        <f t="shared" si="4"/>
        <v>0</v>
      </c>
      <c r="J163" s="32">
        <f t="shared" si="5"/>
        <v>18278.6654010401</v>
      </c>
      <c r="K163" s="18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Height="1" spans="1:26">
      <c r="A164" s="2"/>
      <c r="B164" s="28">
        <f t="shared" si="6"/>
        <v>139</v>
      </c>
      <c r="C164" s="17">
        <v>48335</v>
      </c>
      <c r="D164" s="32">
        <f t="shared" si="7"/>
        <v>3046710.17172196</v>
      </c>
      <c r="E164" s="32">
        <f t="shared" si="0"/>
        <v>18278.6654010401</v>
      </c>
      <c r="F164" s="32">
        <f t="shared" si="1"/>
        <v>8251.5067150803</v>
      </c>
      <c r="G164" s="32">
        <f t="shared" si="2"/>
        <v>10027.1586859598</v>
      </c>
      <c r="H164" s="32">
        <f t="shared" si="3"/>
        <v>3036683.013036</v>
      </c>
      <c r="I164" s="32">
        <f t="shared" si="4"/>
        <v>0</v>
      </c>
      <c r="J164" s="32">
        <f t="shared" si="5"/>
        <v>18278.6654010401</v>
      </c>
      <c r="K164" s="18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Height="1" spans="1:26">
      <c r="A165" s="2"/>
      <c r="B165" s="28">
        <f t="shared" si="6"/>
        <v>140</v>
      </c>
      <c r="C165" s="17">
        <v>48366</v>
      </c>
      <c r="D165" s="32">
        <f t="shared" si="7"/>
        <v>3036683.013036</v>
      </c>
      <c r="E165" s="32">
        <f t="shared" si="0"/>
        <v>18278.6654010401</v>
      </c>
      <c r="F165" s="32">
        <f t="shared" si="1"/>
        <v>8224.3498269725</v>
      </c>
      <c r="G165" s="32">
        <f t="shared" si="2"/>
        <v>10054.3155740676</v>
      </c>
      <c r="H165" s="32">
        <f t="shared" si="3"/>
        <v>3026628.69746193</v>
      </c>
      <c r="I165" s="32">
        <f t="shared" si="4"/>
        <v>0</v>
      </c>
      <c r="J165" s="32">
        <f t="shared" si="5"/>
        <v>18278.6654010401</v>
      </c>
      <c r="K165" s="18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Height="1" spans="1:26">
      <c r="A166" s="2"/>
      <c r="B166" s="28">
        <f t="shared" si="6"/>
        <v>141</v>
      </c>
      <c r="C166" s="17">
        <v>48396</v>
      </c>
      <c r="D166" s="32">
        <f t="shared" si="7"/>
        <v>3026628.69746193</v>
      </c>
      <c r="E166" s="32">
        <f t="shared" si="0"/>
        <v>18278.6654010401</v>
      </c>
      <c r="F166" s="32">
        <f t="shared" si="1"/>
        <v>8197.1193889594</v>
      </c>
      <c r="G166" s="32">
        <f t="shared" si="2"/>
        <v>10081.5460120807</v>
      </c>
      <c r="H166" s="32">
        <f t="shared" si="3"/>
        <v>3016547.15144985</v>
      </c>
      <c r="I166" s="32">
        <f t="shared" si="4"/>
        <v>0</v>
      </c>
      <c r="J166" s="32">
        <f t="shared" si="5"/>
        <v>18278.6654010401</v>
      </c>
      <c r="K166" s="18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Height="1" spans="1:26">
      <c r="A167" s="2"/>
      <c r="B167" s="28">
        <f t="shared" si="6"/>
        <v>142</v>
      </c>
      <c r="C167" s="17">
        <v>48427</v>
      </c>
      <c r="D167" s="32">
        <f t="shared" si="7"/>
        <v>3016547.15144985</v>
      </c>
      <c r="E167" s="32">
        <f t="shared" si="0"/>
        <v>18278.6654010401</v>
      </c>
      <c r="F167" s="32">
        <f t="shared" si="1"/>
        <v>8169.81520184334</v>
      </c>
      <c r="G167" s="32">
        <f t="shared" si="2"/>
        <v>10108.8501991967</v>
      </c>
      <c r="H167" s="32">
        <f t="shared" si="3"/>
        <v>3006438.30125065</v>
      </c>
      <c r="I167" s="32">
        <f t="shared" si="4"/>
        <v>0</v>
      </c>
      <c r="J167" s="32">
        <f t="shared" si="5"/>
        <v>18278.6654010401</v>
      </c>
      <c r="K167" s="18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Height="1" spans="1:26">
      <c r="A168" s="2"/>
      <c r="B168" s="28">
        <f t="shared" si="6"/>
        <v>143</v>
      </c>
      <c r="C168" s="17">
        <v>48458</v>
      </c>
      <c r="D168" s="32">
        <f t="shared" si="7"/>
        <v>3006438.30125065</v>
      </c>
      <c r="E168" s="32">
        <f t="shared" si="0"/>
        <v>18278.6654010401</v>
      </c>
      <c r="F168" s="32">
        <f t="shared" si="1"/>
        <v>8142.43706588719</v>
      </c>
      <c r="G168" s="32">
        <f t="shared" si="2"/>
        <v>10136.2283351529</v>
      </c>
      <c r="H168" s="32">
        <f t="shared" si="3"/>
        <v>2996302.0729155</v>
      </c>
      <c r="I168" s="32">
        <f t="shared" si="4"/>
        <v>0</v>
      </c>
      <c r="J168" s="32">
        <f t="shared" si="5"/>
        <v>18278.6654010401</v>
      </c>
      <c r="K168" s="18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Height="1" spans="1:26">
      <c r="A169" s="2"/>
      <c r="B169" s="28">
        <f t="shared" si="6"/>
        <v>144</v>
      </c>
      <c r="C169" s="17">
        <v>48488</v>
      </c>
      <c r="D169" s="32">
        <f t="shared" si="7"/>
        <v>2996302.0729155</v>
      </c>
      <c r="E169" s="32">
        <f t="shared" si="0"/>
        <v>18278.6654010401</v>
      </c>
      <c r="F169" s="32">
        <f t="shared" si="1"/>
        <v>8114.98478081281</v>
      </c>
      <c r="G169" s="32">
        <f t="shared" si="2"/>
        <v>10163.6806202273</v>
      </c>
      <c r="H169" s="32">
        <f t="shared" si="3"/>
        <v>2986138.39229527</v>
      </c>
      <c r="I169" s="32">
        <f t="shared" si="4"/>
        <v>0</v>
      </c>
      <c r="J169" s="32">
        <f t="shared" si="5"/>
        <v>18278.6654010401</v>
      </c>
      <c r="K169" s="18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Height="1" spans="1:26">
      <c r="A170" s="2"/>
      <c r="B170" s="28">
        <f t="shared" si="6"/>
        <v>145</v>
      </c>
      <c r="C170" s="17">
        <v>48519</v>
      </c>
      <c r="D170" s="32">
        <f t="shared" si="7"/>
        <v>2986138.39229527</v>
      </c>
      <c r="E170" s="32">
        <f t="shared" si="0"/>
        <v>18278.6654010401</v>
      </c>
      <c r="F170" s="32">
        <f t="shared" si="1"/>
        <v>8087.4581457997</v>
      </c>
      <c r="G170" s="32">
        <f t="shared" si="2"/>
        <v>10191.2072552404</v>
      </c>
      <c r="H170" s="32">
        <f t="shared" si="3"/>
        <v>2975947.18504003</v>
      </c>
      <c r="I170" s="32">
        <f t="shared" si="4"/>
        <v>0</v>
      </c>
      <c r="J170" s="32">
        <f t="shared" si="5"/>
        <v>18278.6654010401</v>
      </c>
      <c r="K170" s="32">
        <f>SUM(I170:I181)</f>
        <v>0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Height="1" spans="1:26">
      <c r="A171" s="2"/>
      <c r="B171" s="28">
        <f t="shared" si="6"/>
        <v>146</v>
      </c>
      <c r="C171" s="17">
        <v>48549</v>
      </c>
      <c r="D171" s="32">
        <f t="shared" si="7"/>
        <v>2975947.18504003</v>
      </c>
      <c r="E171" s="32">
        <f t="shared" si="0"/>
        <v>18278.6654010401</v>
      </c>
      <c r="F171" s="32">
        <f t="shared" si="1"/>
        <v>8059.85695948342</v>
      </c>
      <c r="G171" s="32">
        <f t="shared" si="2"/>
        <v>10218.8084415566</v>
      </c>
      <c r="H171" s="32">
        <f t="shared" si="3"/>
        <v>2965728.37659848</v>
      </c>
      <c r="I171" s="32">
        <f t="shared" si="4"/>
        <v>0</v>
      </c>
      <c r="J171" s="32">
        <f t="shared" si="5"/>
        <v>18278.6654010401</v>
      </c>
      <c r="K171" s="18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Height="1" spans="1:26">
      <c r="A172" s="2"/>
      <c r="B172" s="28">
        <f t="shared" si="6"/>
        <v>147</v>
      </c>
      <c r="C172" s="17">
        <v>48580</v>
      </c>
      <c r="D172" s="32">
        <f t="shared" si="7"/>
        <v>2965728.37659848</v>
      </c>
      <c r="E172" s="32">
        <f t="shared" si="0"/>
        <v>18278.6654010401</v>
      </c>
      <c r="F172" s="32">
        <f t="shared" si="1"/>
        <v>8032.18101995421</v>
      </c>
      <c r="G172" s="32">
        <f t="shared" si="2"/>
        <v>10246.4843810859</v>
      </c>
      <c r="H172" s="32">
        <f t="shared" si="3"/>
        <v>2955481.89221739</v>
      </c>
      <c r="I172" s="32">
        <f t="shared" si="4"/>
        <v>0</v>
      </c>
      <c r="J172" s="32">
        <f t="shared" si="5"/>
        <v>18278.6654010401</v>
      </c>
      <c r="K172" s="18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Height="1" spans="1:26">
      <c r="A173" s="2"/>
      <c r="B173" s="28">
        <f t="shared" si="6"/>
        <v>148</v>
      </c>
      <c r="C173" s="17">
        <v>48611</v>
      </c>
      <c r="D173" s="32">
        <f t="shared" si="7"/>
        <v>2955481.89221739</v>
      </c>
      <c r="E173" s="32">
        <f t="shared" si="0"/>
        <v>18278.6654010401</v>
      </c>
      <c r="F173" s="32">
        <f t="shared" si="1"/>
        <v>8004.43012475543</v>
      </c>
      <c r="G173" s="32">
        <f t="shared" si="2"/>
        <v>10274.2352762846</v>
      </c>
      <c r="H173" s="32">
        <f t="shared" si="3"/>
        <v>2945207.65694111</v>
      </c>
      <c r="I173" s="32">
        <f t="shared" si="4"/>
        <v>0</v>
      </c>
      <c r="J173" s="32">
        <f t="shared" si="5"/>
        <v>18278.6654010401</v>
      </c>
      <c r="K173" s="18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Height="1" spans="1:26">
      <c r="A174" s="2"/>
      <c r="B174" s="28">
        <f t="shared" si="6"/>
        <v>149</v>
      </c>
      <c r="C174" s="17">
        <v>48639</v>
      </c>
      <c r="D174" s="32">
        <f t="shared" si="7"/>
        <v>2945207.65694111</v>
      </c>
      <c r="E174" s="32">
        <f t="shared" si="0"/>
        <v>18278.6654010401</v>
      </c>
      <c r="F174" s="32">
        <f t="shared" si="1"/>
        <v>7976.60407088216</v>
      </c>
      <c r="G174" s="32">
        <f t="shared" si="2"/>
        <v>10302.0613301579</v>
      </c>
      <c r="H174" s="32">
        <f t="shared" si="3"/>
        <v>2934905.59561095</v>
      </c>
      <c r="I174" s="32">
        <f t="shared" si="4"/>
        <v>0</v>
      </c>
      <c r="J174" s="32">
        <f t="shared" si="5"/>
        <v>18278.6654010401</v>
      </c>
      <c r="K174" s="18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Height="1" spans="1:26">
      <c r="A175" s="2"/>
      <c r="B175" s="28">
        <f t="shared" si="6"/>
        <v>150</v>
      </c>
      <c r="C175" s="17">
        <v>48670</v>
      </c>
      <c r="D175" s="32">
        <f t="shared" si="7"/>
        <v>2934905.59561095</v>
      </c>
      <c r="E175" s="32">
        <f t="shared" si="0"/>
        <v>18278.6654010401</v>
      </c>
      <c r="F175" s="32">
        <f t="shared" si="1"/>
        <v>7948.70265477965</v>
      </c>
      <c r="G175" s="32">
        <f t="shared" si="2"/>
        <v>10329.9627462604</v>
      </c>
      <c r="H175" s="32">
        <f t="shared" si="3"/>
        <v>2924575.63286469</v>
      </c>
      <c r="I175" s="32">
        <f t="shared" si="4"/>
        <v>0</v>
      </c>
      <c r="J175" s="32">
        <f t="shared" si="5"/>
        <v>18278.6654010401</v>
      </c>
      <c r="K175" s="18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Height="1" spans="1:26">
      <c r="A176" s="2"/>
      <c r="B176" s="28">
        <f t="shared" si="6"/>
        <v>151</v>
      </c>
      <c r="C176" s="17">
        <v>48700</v>
      </c>
      <c r="D176" s="32">
        <f t="shared" si="7"/>
        <v>2924575.63286469</v>
      </c>
      <c r="E176" s="32">
        <f t="shared" si="0"/>
        <v>18278.6654010401</v>
      </c>
      <c r="F176" s="32">
        <f t="shared" si="1"/>
        <v>7920.72567234186</v>
      </c>
      <c r="G176" s="32">
        <f t="shared" si="2"/>
        <v>10357.9397286982</v>
      </c>
      <c r="H176" s="32">
        <f t="shared" si="3"/>
        <v>2914217.69313599</v>
      </c>
      <c r="I176" s="32">
        <f t="shared" si="4"/>
        <v>0</v>
      </c>
      <c r="J176" s="32">
        <f t="shared" si="5"/>
        <v>18278.6654010401</v>
      </c>
      <c r="K176" s="18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Height="1" spans="1:26">
      <c r="A177" s="2"/>
      <c r="B177" s="28">
        <f t="shared" si="6"/>
        <v>152</v>
      </c>
      <c r="C177" s="17">
        <v>48731</v>
      </c>
      <c r="D177" s="32">
        <f t="shared" si="7"/>
        <v>2914217.69313599</v>
      </c>
      <c r="E177" s="32">
        <f t="shared" si="0"/>
        <v>18278.6654010401</v>
      </c>
      <c r="F177" s="32">
        <f t="shared" si="1"/>
        <v>7892.67291890997</v>
      </c>
      <c r="G177" s="32">
        <f t="shared" si="2"/>
        <v>10385.9924821301</v>
      </c>
      <c r="H177" s="32">
        <f t="shared" si="3"/>
        <v>2903831.70065386</v>
      </c>
      <c r="I177" s="32">
        <f t="shared" si="4"/>
        <v>0</v>
      </c>
      <c r="J177" s="32">
        <f t="shared" si="5"/>
        <v>18278.6654010401</v>
      </c>
      <c r="K177" s="18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Height="1" spans="1:26">
      <c r="A178" s="2"/>
      <c r="B178" s="28">
        <f t="shared" si="6"/>
        <v>153</v>
      </c>
      <c r="C178" s="17">
        <v>48761</v>
      </c>
      <c r="D178" s="32">
        <f t="shared" si="7"/>
        <v>2903831.70065386</v>
      </c>
      <c r="E178" s="32">
        <f t="shared" si="0"/>
        <v>18278.6654010401</v>
      </c>
      <c r="F178" s="32">
        <f t="shared" si="1"/>
        <v>7864.54418927087</v>
      </c>
      <c r="G178" s="32">
        <f t="shared" si="2"/>
        <v>10414.1212117692</v>
      </c>
      <c r="H178" s="32">
        <f t="shared" si="3"/>
        <v>2893417.57944209</v>
      </c>
      <c r="I178" s="32">
        <f t="shared" si="4"/>
        <v>0</v>
      </c>
      <c r="J178" s="32">
        <f t="shared" si="5"/>
        <v>18278.6654010401</v>
      </c>
      <c r="K178" s="18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Height="1" spans="1:26">
      <c r="A179" s="2"/>
      <c r="B179" s="28">
        <f t="shared" si="6"/>
        <v>154</v>
      </c>
      <c r="C179" s="17">
        <v>48792</v>
      </c>
      <c r="D179" s="32">
        <f t="shared" si="7"/>
        <v>2893417.57944209</v>
      </c>
      <c r="E179" s="32">
        <f t="shared" si="0"/>
        <v>18278.6654010401</v>
      </c>
      <c r="F179" s="32">
        <f t="shared" si="1"/>
        <v>7836.33927765566</v>
      </c>
      <c r="G179" s="32">
        <f t="shared" si="2"/>
        <v>10442.3261233844</v>
      </c>
      <c r="H179" s="32">
        <f t="shared" si="3"/>
        <v>2882975.25331871</v>
      </c>
      <c r="I179" s="32">
        <f t="shared" si="4"/>
        <v>0</v>
      </c>
      <c r="J179" s="32">
        <f t="shared" si="5"/>
        <v>18278.6654010401</v>
      </c>
      <c r="K179" s="18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Height="1" spans="1:26">
      <c r="A180" s="2"/>
      <c r="B180" s="28">
        <f t="shared" si="6"/>
        <v>155</v>
      </c>
      <c r="C180" s="17">
        <v>48823</v>
      </c>
      <c r="D180" s="32">
        <f t="shared" si="7"/>
        <v>2882975.25331871</v>
      </c>
      <c r="E180" s="32">
        <f t="shared" si="0"/>
        <v>18278.6654010401</v>
      </c>
      <c r="F180" s="32">
        <f t="shared" si="1"/>
        <v>7808.05797773816</v>
      </c>
      <c r="G180" s="32">
        <f t="shared" si="2"/>
        <v>10470.6074233019</v>
      </c>
      <c r="H180" s="32">
        <f t="shared" si="3"/>
        <v>2872504.6458954</v>
      </c>
      <c r="I180" s="32">
        <f t="shared" si="4"/>
        <v>0</v>
      </c>
      <c r="J180" s="32">
        <f t="shared" si="5"/>
        <v>18278.6654010401</v>
      </c>
      <c r="K180" s="18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Height="1" spans="1:26">
      <c r="A181" s="2"/>
      <c r="B181" s="28">
        <f t="shared" si="6"/>
        <v>156</v>
      </c>
      <c r="C181" s="17">
        <v>48853</v>
      </c>
      <c r="D181" s="32">
        <f t="shared" si="7"/>
        <v>2872504.6458954</v>
      </c>
      <c r="E181" s="32">
        <f t="shared" si="0"/>
        <v>18278.6654010401</v>
      </c>
      <c r="F181" s="32">
        <f t="shared" si="1"/>
        <v>7779.70008263339</v>
      </c>
      <c r="G181" s="32">
        <f t="shared" si="2"/>
        <v>10498.9653184067</v>
      </c>
      <c r="H181" s="32">
        <f t="shared" si="3"/>
        <v>2862005.680577</v>
      </c>
      <c r="I181" s="32">
        <f t="shared" si="4"/>
        <v>0</v>
      </c>
      <c r="J181" s="32">
        <f t="shared" si="5"/>
        <v>18278.6654010401</v>
      </c>
      <c r="K181" s="18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Height="1" spans="1:26">
      <c r="A182" s="2"/>
      <c r="B182" s="28">
        <f t="shared" si="6"/>
        <v>157</v>
      </c>
      <c r="C182" s="17">
        <v>48884</v>
      </c>
      <c r="D182" s="32">
        <f t="shared" si="7"/>
        <v>2862005.680577</v>
      </c>
      <c r="E182" s="32">
        <f t="shared" si="0"/>
        <v>18278.6654010401</v>
      </c>
      <c r="F182" s="32">
        <f t="shared" si="1"/>
        <v>7751.26538489604</v>
      </c>
      <c r="G182" s="32">
        <f t="shared" si="2"/>
        <v>10527.400016144</v>
      </c>
      <c r="H182" s="32">
        <f t="shared" si="3"/>
        <v>2851478.28056085</v>
      </c>
      <c r="I182" s="32">
        <f t="shared" si="4"/>
        <v>0</v>
      </c>
      <c r="J182" s="32">
        <f t="shared" si="5"/>
        <v>18278.6654010401</v>
      </c>
      <c r="K182" s="32">
        <f>SUM(I182:I193)</f>
        <v>0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Height="1" spans="1:26">
      <c r="A183" s="2"/>
      <c r="B183" s="28">
        <f t="shared" si="6"/>
        <v>158</v>
      </c>
      <c r="C183" s="17">
        <v>48914</v>
      </c>
      <c r="D183" s="32">
        <f t="shared" si="7"/>
        <v>2851478.28056085</v>
      </c>
      <c r="E183" s="32">
        <f t="shared" si="0"/>
        <v>18278.6654010401</v>
      </c>
      <c r="F183" s="32">
        <f t="shared" si="1"/>
        <v>7722.75367651898</v>
      </c>
      <c r="G183" s="32">
        <f t="shared" si="2"/>
        <v>10555.9117245211</v>
      </c>
      <c r="H183" s="32">
        <f t="shared" si="3"/>
        <v>2840922.36883633</v>
      </c>
      <c r="I183" s="32">
        <f t="shared" si="4"/>
        <v>0</v>
      </c>
      <c r="J183" s="32">
        <f t="shared" si="5"/>
        <v>18278.6654010401</v>
      </c>
      <c r="K183" s="18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Height="1" spans="1:26">
      <c r="A184" s="2"/>
      <c r="B184" s="28">
        <f t="shared" si="6"/>
        <v>159</v>
      </c>
      <c r="C184" s="17">
        <v>48945</v>
      </c>
      <c r="D184" s="32">
        <f t="shared" si="7"/>
        <v>2840922.36883633</v>
      </c>
      <c r="E184" s="32">
        <f t="shared" si="0"/>
        <v>18278.6654010401</v>
      </c>
      <c r="F184" s="32">
        <f t="shared" si="1"/>
        <v>7694.16474893173</v>
      </c>
      <c r="G184" s="32">
        <f t="shared" si="2"/>
        <v>10584.5006521083</v>
      </c>
      <c r="H184" s="32">
        <f t="shared" si="3"/>
        <v>2830337.86818422</v>
      </c>
      <c r="I184" s="32">
        <f t="shared" si="4"/>
        <v>0</v>
      </c>
      <c r="J184" s="32">
        <f t="shared" si="5"/>
        <v>18278.6654010401</v>
      </c>
      <c r="K184" s="18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Height="1" spans="1:26">
      <c r="A185" s="2"/>
      <c r="B185" s="28">
        <f t="shared" si="6"/>
        <v>160</v>
      </c>
      <c r="C185" s="17">
        <v>48976</v>
      </c>
      <c r="D185" s="32">
        <f t="shared" si="7"/>
        <v>2830337.86818422</v>
      </c>
      <c r="E185" s="32">
        <f t="shared" si="0"/>
        <v>18278.6654010401</v>
      </c>
      <c r="F185" s="32">
        <f t="shared" si="1"/>
        <v>7665.49839299894</v>
      </c>
      <c r="G185" s="32">
        <f t="shared" si="2"/>
        <v>10613.1670080411</v>
      </c>
      <c r="H185" s="32">
        <f t="shared" si="3"/>
        <v>2819724.70117618</v>
      </c>
      <c r="I185" s="32">
        <f t="shared" si="4"/>
        <v>0</v>
      </c>
      <c r="J185" s="32">
        <f t="shared" si="5"/>
        <v>18278.6654010401</v>
      </c>
      <c r="K185" s="18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Height="1" spans="1:26">
      <c r="A186" s="2"/>
      <c r="B186" s="28">
        <f t="shared" si="6"/>
        <v>161</v>
      </c>
      <c r="C186" s="17">
        <v>49004</v>
      </c>
      <c r="D186" s="32">
        <f t="shared" si="7"/>
        <v>2819724.70117618</v>
      </c>
      <c r="E186" s="32">
        <f t="shared" si="0"/>
        <v>18278.6654010401</v>
      </c>
      <c r="F186" s="32">
        <f t="shared" si="1"/>
        <v>7636.75439901883</v>
      </c>
      <c r="G186" s="32">
        <f t="shared" si="2"/>
        <v>10641.9110020212</v>
      </c>
      <c r="H186" s="32">
        <f t="shared" si="3"/>
        <v>2809082.79017416</v>
      </c>
      <c r="I186" s="32">
        <f t="shared" si="4"/>
        <v>0</v>
      </c>
      <c r="J186" s="32">
        <f t="shared" si="5"/>
        <v>18278.6654010401</v>
      </c>
      <c r="K186" s="18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Height="1" spans="1:26">
      <c r="A187" s="2"/>
      <c r="B187" s="28">
        <f t="shared" si="6"/>
        <v>162</v>
      </c>
      <c r="C187" s="17">
        <v>49035</v>
      </c>
      <c r="D187" s="32">
        <f t="shared" si="7"/>
        <v>2809082.79017416</v>
      </c>
      <c r="E187" s="32">
        <f t="shared" si="0"/>
        <v>18278.6654010401</v>
      </c>
      <c r="F187" s="32">
        <f t="shared" si="1"/>
        <v>7607.93255672169</v>
      </c>
      <c r="G187" s="32">
        <f t="shared" si="2"/>
        <v>10670.7328443184</v>
      </c>
      <c r="H187" s="32">
        <f t="shared" si="3"/>
        <v>2798412.05732984</v>
      </c>
      <c r="I187" s="32">
        <f t="shared" si="4"/>
        <v>0</v>
      </c>
      <c r="J187" s="32">
        <f t="shared" si="5"/>
        <v>18278.6654010401</v>
      </c>
      <c r="K187" s="18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Height="1" spans="1:26">
      <c r="A188" s="2"/>
      <c r="B188" s="28">
        <f t="shared" si="6"/>
        <v>163</v>
      </c>
      <c r="C188" s="17">
        <v>49065</v>
      </c>
      <c r="D188" s="32">
        <f t="shared" si="7"/>
        <v>2798412.05732984</v>
      </c>
      <c r="E188" s="32">
        <f t="shared" si="0"/>
        <v>18278.6654010401</v>
      </c>
      <c r="F188" s="32">
        <f t="shared" si="1"/>
        <v>7579.03265526833</v>
      </c>
      <c r="G188" s="32">
        <f t="shared" si="2"/>
        <v>10699.6327457717</v>
      </c>
      <c r="H188" s="32">
        <f t="shared" si="3"/>
        <v>2787712.42458407</v>
      </c>
      <c r="I188" s="32">
        <f t="shared" si="4"/>
        <v>0</v>
      </c>
      <c r="J188" s="32">
        <f t="shared" si="5"/>
        <v>18278.6654010401</v>
      </c>
      <c r="K188" s="18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Height="1" spans="1:26">
      <c r="A189" s="2"/>
      <c r="B189" s="28">
        <f t="shared" si="6"/>
        <v>164</v>
      </c>
      <c r="C189" s="17">
        <v>49096</v>
      </c>
      <c r="D189" s="32">
        <f t="shared" si="7"/>
        <v>2787712.42458407</v>
      </c>
      <c r="E189" s="32">
        <f t="shared" si="0"/>
        <v>18278.6654010401</v>
      </c>
      <c r="F189" s="32">
        <f t="shared" si="1"/>
        <v>7550.05448324853</v>
      </c>
      <c r="G189" s="32">
        <f t="shared" si="2"/>
        <v>10728.6109177915</v>
      </c>
      <c r="H189" s="32">
        <f t="shared" si="3"/>
        <v>2776983.81366628</v>
      </c>
      <c r="I189" s="32">
        <f t="shared" si="4"/>
        <v>0</v>
      </c>
      <c r="J189" s="32">
        <f t="shared" si="5"/>
        <v>18278.6654010401</v>
      </c>
      <c r="K189" s="18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Height="1" spans="1:26">
      <c r="A190" s="2"/>
      <c r="B190" s="28">
        <f t="shared" si="6"/>
        <v>165</v>
      </c>
      <c r="C190" s="17">
        <v>49126</v>
      </c>
      <c r="D190" s="32">
        <f t="shared" si="7"/>
        <v>2776983.81366628</v>
      </c>
      <c r="E190" s="32">
        <f t="shared" si="0"/>
        <v>18278.6654010401</v>
      </c>
      <c r="F190" s="32">
        <f t="shared" si="1"/>
        <v>7520.99782867951</v>
      </c>
      <c r="G190" s="32">
        <f t="shared" si="2"/>
        <v>10757.6675723606</v>
      </c>
      <c r="H190" s="32">
        <f t="shared" si="3"/>
        <v>2766226.14609392</v>
      </c>
      <c r="I190" s="32">
        <f t="shared" si="4"/>
        <v>0</v>
      </c>
      <c r="J190" s="32">
        <f t="shared" si="5"/>
        <v>18278.6654010401</v>
      </c>
      <c r="K190" s="18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Height="1" spans="1:26">
      <c r="A191" s="2"/>
      <c r="B191" s="28">
        <f t="shared" si="6"/>
        <v>166</v>
      </c>
      <c r="C191" s="17">
        <v>49157</v>
      </c>
      <c r="D191" s="32">
        <f t="shared" si="7"/>
        <v>2766226.14609392</v>
      </c>
      <c r="E191" s="32">
        <f t="shared" si="0"/>
        <v>18278.6654010401</v>
      </c>
      <c r="F191" s="32">
        <f t="shared" si="1"/>
        <v>7491.86247900437</v>
      </c>
      <c r="G191" s="32">
        <f t="shared" si="2"/>
        <v>10786.8029220357</v>
      </c>
      <c r="H191" s="32">
        <f t="shared" si="3"/>
        <v>2755439.34317188</v>
      </c>
      <c r="I191" s="32">
        <f t="shared" si="4"/>
        <v>0</v>
      </c>
      <c r="J191" s="32">
        <f t="shared" si="5"/>
        <v>18278.6654010401</v>
      </c>
      <c r="K191" s="18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Height="1" spans="1:26">
      <c r="A192" s="2"/>
      <c r="B192" s="28">
        <f t="shared" si="6"/>
        <v>167</v>
      </c>
      <c r="C192" s="17">
        <v>49188</v>
      </c>
      <c r="D192" s="32">
        <f t="shared" si="7"/>
        <v>2755439.34317188</v>
      </c>
      <c r="E192" s="32">
        <f t="shared" si="0"/>
        <v>18278.6654010401</v>
      </c>
      <c r="F192" s="32">
        <f t="shared" si="1"/>
        <v>7462.64822109052</v>
      </c>
      <c r="G192" s="32">
        <f t="shared" si="2"/>
        <v>10816.0171799495</v>
      </c>
      <c r="H192" s="32">
        <f t="shared" si="3"/>
        <v>2744623.32599193</v>
      </c>
      <c r="I192" s="32">
        <f t="shared" si="4"/>
        <v>0</v>
      </c>
      <c r="J192" s="32">
        <f t="shared" si="5"/>
        <v>18278.6654010401</v>
      </c>
      <c r="K192" s="18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Height="1" spans="1:26">
      <c r="A193" s="2"/>
      <c r="B193" s="28">
        <f t="shared" si="6"/>
        <v>168</v>
      </c>
      <c r="C193" s="17">
        <v>49218</v>
      </c>
      <c r="D193" s="32">
        <f t="shared" si="7"/>
        <v>2744623.32599193</v>
      </c>
      <c r="E193" s="32">
        <f t="shared" si="0"/>
        <v>18278.6654010401</v>
      </c>
      <c r="F193" s="32">
        <f t="shared" si="1"/>
        <v>7433.35484122816</v>
      </c>
      <c r="G193" s="32">
        <f t="shared" si="2"/>
        <v>10845.3105598119</v>
      </c>
      <c r="H193" s="32">
        <f t="shared" si="3"/>
        <v>2733778.01543212</v>
      </c>
      <c r="I193" s="32">
        <f t="shared" si="4"/>
        <v>0</v>
      </c>
      <c r="J193" s="32">
        <f t="shared" si="5"/>
        <v>18278.6654010401</v>
      </c>
      <c r="K193" s="18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Height="1" spans="1:26">
      <c r="A194" s="2"/>
      <c r="B194" s="28">
        <f t="shared" si="6"/>
        <v>169</v>
      </c>
      <c r="C194" s="17">
        <v>49249</v>
      </c>
      <c r="D194" s="32">
        <f t="shared" si="7"/>
        <v>2733778.01543212</v>
      </c>
      <c r="E194" s="32">
        <f t="shared" si="0"/>
        <v>18278.6654010401</v>
      </c>
      <c r="F194" s="32">
        <f t="shared" si="1"/>
        <v>7403.98212512867</v>
      </c>
      <c r="G194" s="32">
        <f t="shared" si="2"/>
        <v>10874.6832759114</v>
      </c>
      <c r="H194" s="32">
        <f t="shared" si="3"/>
        <v>2722903.33215621</v>
      </c>
      <c r="I194" s="32">
        <f t="shared" si="4"/>
        <v>0</v>
      </c>
      <c r="J194" s="32">
        <f t="shared" si="5"/>
        <v>18278.6654010401</v>
      </c>
      <c r="K194" s="32">
        <f>SUM(I194:I205)</f>
        <v>0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Height="1" spans="1:26">
      <c r="A195" s="2"/>
      <c r="B195" s="28">
        <f t="shared" si="6"/>
        <v>170</v>
      </c>
      <c r="C195" s="17">
        <v>49279</v>
      </c>
      <c r="D195" s="32">
        <f t="shared" si="7"/>
        <v>2722903.33215621</v>
      </c>
      <c r="E195" s="32">
        <f t="shared" si="0"/>
        <v>18278.6654010401</v>
      </c>
      <c r="F195" s="32">
        <f t="shared" si="1"/>
        <v>7374.52985792307</v>
      </c>
      <c r="G195" s="32">
        <f t="shared" si="2"/>
        <v>10904.135543117</v>
      </c>
      <c r="H195" s="32">
        <f t="shared" si="3"/>
        <v>2711999.19661309</v>
      </c>
      <c r="I195" s="32">
        <f t="shared" si="4"/>
        <v>0</v>
      </c>
      <c r="J195" s="32">
        <f t="shared" si="5"/>
        <v>18278.6654010401</v>
      </c>
      <c r="K195" s="18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Height="1" spans="1:26">
      <c r="A196" s="2"/>
      <c r="B196" s="28">
        <f t="shared" si="6"/>
        <v>171</v>
      </c>
      <c r="C196" s="17">
        <v>49310</v>
      </c>
      <c r="D196" s="32">
        <f t="shared" si="7"/>
        <v>2711999.19661309</v>
      </c>
      <c r="E196" s="32">
        <f t="shared" si="0"/>
        <v>18278.6654010401</v>
      </c>
      <c r="F196" s="32">
        <f t="shared" si="1"/>
        <v>7344.99782416046</v>
      </c>
      <c r="G196" s="32">
        <f t="shared" si="2"/>
        <v>10933.6675768796</v>
      </c>
      <c r="H196" s="32">
        <f t="shared" si="3"/>
        <v>2701065.52903621</v>
      </c>
      <c r="I196" s="32">
        <f t="shared" si="4"/>
        <v>0</v>
      </c>
      <c r="J196" s="32">
        <f t="shared" si="5"/>
        <v>18278.6654010401</v>
      </c>
      <c r="K196" s="18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Height="1" spans="1:26">
      <c r="A197" s="2"/>
      <c r="B197" s="28">
        <f t="shared" si="6"/>
        <v>172</v>
      </c>
      <c r="C197" s="17">
        <v>49341</v>
      </c>
      <c r="D197" s="32">
        <f t="shared" si="7"/>
        <v>2701065.52903621</v>
      </c>
      <c r="E197" s="32">
        <f t="shared" si="0"/>
        <v>18278.6654010401</v>
      </c>
      <c r="F197" s="32">
        <f t="shared" si="1"/>
        <v>7315.38580780641</v>
      </c>
      <c r="G197" s="32">
        <f t="shared" si="2"/>
        <v>10963.2795932337</v>
      </c>
      <c r="H197" s="32">
        <f t="shared" si="3"/>
        <v>2690102.24944298</v>
      </c>
      <c r="I197" s="32">
        <f t="shared" si="4"/>
        <v>0</v>
      </c>
      <c r="J197" s="32">
        <f t="shared" si="5"/>
        <v>18278.6654010401</v>
      </c>
      <c r="K197" s="18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Height="1" spans="1:26">
      <c r="A198" s="2"/>
      <c r="B198" s="28">
        <f t="shared" si="6"/>
        <v>173</v>
      </c>
      <c r="C198" s="17">
        <v>49369</v>
      </c>
      <c r="D198" s="32">
        <f t="shared" si="7"/>
        <v>2690102.24944298</v>
      </c>
      <c r="E198" s="32">
        <f t="shared" si="0"/>
        <v>18278.6654010401</v>
      </c>
      <c r="F198" s="32">
        <f t="shared" si="1"/>
        <v>7285.69359224141</v>
      </c>
      <c r="G198" s="32">
        <f t="shared" si="2"/>
        <v>10992.9718087987</v>
      </c>
      <c r="H198" s="32">
        <f t="shared" si="3"/>
        <v>2679109.27763418</v>
      </c>
      <c r="I198" s="32">
        <f t="shared" si="4"/>
        <v>0</v>
      </c>
      <c r="J198" s="32">
        <f t="shared" si="5"/>
        <v>18278.6654010401</v>
      </c>
      <c r="K198" s="18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Height="1" spans="1:26">
      <c r="A199" s="2"/>
      <c r="B199" s="28">
        <f t="shared" si="6"/>
        <v>174</v>
      </c>
      <c r="C199" s="17">
        <v>49400</v>
      </c>
      <c r="D199" s="32">
        <f t="shared" si="7"/>
        <v>2679109.27763418</v>
      </c>
      <c r="E199" s="32">
        <f t="shared" si="0"/>
        <v>18278.6654010401</v>
      </c>
      <c r="F199" s="32">
        <f t="shared" si="1"/>
        <v>7255.92096025924</v>
      </c>
      <c r="G199" s="32">
        <f t="shared" si="2"/>
        <v>11022.7444407808</v>
      </c>
      <c r="H199" s="32">
        <f t="shared" si="3"/>
        <v>2668086.5331934</v>
      </c>
      <c r="I199" s="32">
        <f t="shared" si="4"/>
        <v>0</v>
      </c>
      <c r="J199" s="32">
        <f t="shared" si="5"/>
        <v>18278.6654010401</v>
      </c>
      <c r="K199" s="18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Height="1" spans="1:26">
      <c r="A200" s="2"/>
      <c r="B200" s="28">
        <f t="shared" si="6"/>
        <v>175</v>
      </c>
      <c r="C200" s="17">
        <v>49430</v>
      </c>
      <c r="D200" s="32">
        <f t="shared" si="7"/>
        <v>2668086.5331934</v>
      </c>
      <c r="E200" s="32">
        <f t="shared" si="0"/>
        <v>18278.6654010401</v>
      </c>
      <c r="F200" s="32">
        <f t="shared" si="1"/>
        <v>7226.06769406546</v>
      </c>
      <c r="G200" s="32">
        <f t="shared" si="2"/>
        <v>11052.5977069746</v>
      </c>
      <c r="H200" s="32">
        <f t="shared" si="3"/>
        <v>2657033.93548643</v>
      </c>
      <c r="I200" s="32">
        <f t="shared" si="4"/>
        <v>0</v>
      </c>
      <c r="J200" s="32">
        <f t="shared" si="5"/>
        <v>18278.6654010401</v>
      </c>
      <c r="K200" s="18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Height="1" spans="1:26">
      <c r="A201" s="2"/>
      <c r="B201" s="28">
        <f t="shared" si="6"/>
        <v>176</v>
      </c>
      <c r="C201" s="17">
        <v>49461</v>
      </c>
      <c r="D201" s="32">
        <f t="shared" si="7"/>
        <v>2657033.93548643</v>
      </c>
      <c r="E201" s="32">
        <f t="shared" si="0"/>
        <v>18278.6654010401</v>
      </c>
      <c r="F201" s="32">
        <f t="shared" si="1"/>
        <v>7196.13357527574</v>
      </c>
      <c r="G201" s="32">
        <f t="shared" si="2"/>
        <v>11082.5318257643</v>
      </c>
      <c r="H201" s="32">
        <f t="shared" si="3"/>
        <v>2645951.40366066</v>
      </c>
      <c r="I201" s="32">
        <f t="shared" si="4"/>
        <v>0</v>
      </c>
      <c r="J201" s="32">
        <f t="shared" si="5"/>
        <v>18278.6654010401</v>
      </c>
      <c r="K201" s="18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Height="1" spans="1:26">
      <c r="A202" s="2"/>
      <c r="B202" s="28">
        <f t="shared" si="6"/>
        <v>177</v>
      </c>
      <c r="C202" s="17">
        <v>49491</v>
      </c>
      <c r="D202" s="32">
        <f t="shared" si="7"/>
        <v>2645951.40366066</v>
      </c>
      <c r="E202" s="32">
        <f t="shared" si="0"/>
        <v>18278.6654010401</v>
      </c>
      <c r="F202" s="32">
        <f t="shared" si="1"/>
        <v>7166.1183849143</v>
      </c>
      <c r="G202" s="32">
        <f t="shared" si="2"/>
        <v>11112.5470161258</v>
      </c>
      <c r="H202" s="32">
        <f t="shared" si="3"/>
        <v>2634838.85664454</v>
      </c>
      <c r="I202" s="32">
        <f t="shared" si="4"/>
        <v>0</v>
      </c>
      <c r="J202" s="32">
        <f t="shared" si="5"/>
        <v>18278.6654010401</v>
      </c>
      <c r="K202" s="18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Height="1" spans="1:26">
      <c r="A203" s="2"/>
      <c r="B203" s="28">
        <f t="shared" si="6"/>
        <v>178</v>
      </c>
      <c r="C203" s="17">
        <v>49522</v>
      </c>
      <c r="D203" s="32">
        <f t="shared" si="7"/>
        <v>2634838.85664454</v>
      </c>
      <c r="E203" s="32">
        <f t="shared" si="0"/>
        <v>18278.6654010401</v>
      </c>
      <c r="F203" s="32">
        <f t="shared" si="1"/>
        <v>7136.02190341229</v>
      </c>
      <c r="G203" s="32">
        <f t="shared" si="2"/>
        <v>11142.6434976278</v>
      </c>
      <c r="H203" s="32">
        <f t="shared" si="3"/>
        <v>2623696.21314691</v>
      </c>
      <c r="I203" s="32">
        <f t="shared" si="4"/>
        <v>0</v>
      </c>
      <c r="J203" s="32">
        <f t="shared" si="5"/>
        <v>18278.6654010401</v>
      </c>
      <c r="K203" s="18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Height="1" spans="1:26">
      <c r="A204" s="2"/>
      <c r="B204" s="28">
        <f t="shared" si="6"/>
        <v>179</v>
      </c>
      <c r="C204" s="17">
        <v>49553</v>
      </c>
      <c r="D204" s="32">
        <f t="shared" si="7"/>
        <v>2623696.21314691</v>
      </c>
      <c r="E204" s="32">
        <f t="shared" si="0"/>
        <v>18278.6654010401</v>
      </c>
      <c r="F204" s="32">
        <f t="shared" si="1"/>
        <v>7105.84391060621</v>
      </c>
      <c r="G204" s="32">
        <f t="shared" si="2"/>
        <v>11172.8214904339</v>
      </c>
      <c r="H204" s="32">
        <f t="shared" si="3"/>
        <v>2612523.39165648</v>
      </c>
      <c r="I204" s="32">
        <f t="shared" si="4"/>
        <v>0</v>
      </c>
      <c r="J204" s="32">
        <f t="shared" si="5"/>
        <v>18278.6654010401</v>
      </c>
      <c r="K204" s="18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Height="1" spans="1:26">
      <c r="A205" s="2"/>
      <c r="B205" s="28">
        <f t="shared" si="6"/>
        <v>180</v>
      </c>
      <c r="C205" s="17">
        <v>49583</v>
      </c>
      <c r="D205" s="32">
        <f t="shared" si="7"/>
        <v>2612523.39165648</v>
      </c>
      <c r="E205" s="32">
        <f t="shared" si="0"/>
        <v>18278.6654010401</v>
      </c>
      <c r="F205" s="32">
        <f t="shared" si="1"/>
        <v>7075.58418573629</v>
      </c>
      <c r="G205" s="32">
        <f t="shared" si="2"/>
        <v>11203.0812153038</v>
      </c>
      <c r="H205" s="32">
        <f t="shared" si="3"/>
        <v>2601320.31044117</v>
      </c>
      <c r="I205" s="32">
        <f t="shared" si="4"/>
        <v>0</v>
      </c>
      <c r="J205" s="32">
        <f t="shared" si="5"/>
        <v>18278.6654010401</v>
      </c>
      <c r="K205" s="18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Height="1" spans="1:26">
      <c r="A206" s="2"/>
      <c r="B206" s="28">
        <f t="shared" si="6"/>
        <v>181</v>
      </c>
      <c r="C206" s="17">
        <v>49614</v>
      </c>
      <c r="D206" s="32">
        <f t="shared" si="7"/>
        <v>2601320.31044117</v>
      </c>
      <c r="E206" s="32">
        <f t="shared" si="0"/>
        <v>18278.6654010401</v>
      </c>
      <c r="F206" s="32">
        <f t="shared" si="1"/>
        <v>7045.24250744484</v>
      </c>
      <c r="G206" s="32">
        <f t="shared" si="2"/>
        <v>11233.4228935952</v>
      </c>
      <c r="H206" s="32">
        <f t="shared" si="3"/>
        <v>2590086.88754758</v>
      </c>
      <c r="I206" s="32">
        <f t="shared" si="4"/>
        <v>0</v>
      </c>
      <c r="J206" s="32">
        <f t="shared" si="5"/>
        <v>18278.6654010401</v>
      </c>
      <c r="K206" s="32">
        <f>SUM(I206:I217)</f>
        <v>0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Height="1" spans="1:26">
      <c r="A207" s="2"/>
      <c r="B207" s="28">
        <f t="shared" si="6"/>
        <v>182</v>
      </c>
      <c r="C207" s="17">
        <v>49644</v>
      </c>
      <c r="D207" s="32">
        <f t="shared" si="7"/>
        <v>2590086.88754758</v>
      </c>
      <c r="E207" s="32">
        <f t="shared" si="0"/>
        <v>18278.6654010401</v>
      </c>
      <c r="F207" s="32">
        <f t="shared" si="1"/>
        <v>7014.81865377469</v>
      </c>
      <c r="G207" s="32">
        <f t="shared" si="2"/>
        <v>11263.8467472654</v>
      </c>
      <c r="H207" s="32">
        <f t="shared" si="3"/>
        <v>2578823.04080031</v>
      </c>
      <c r="I207" s="32">
        <f t="shared" si="4"/>
        <v>0</v>
      </c>
      <c r="J207" s="32">
        <f t="shared" si="5"/>
        <v>18278.6654010401</v>
      </c>
      <c r="K207" s="18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Height="1" spans="1:26">
      <c r="A208" s="2"/>
      <c r="B208" s="28">
        <f t="shared" si="6"/>
        <v>183</v>
      </c>
      <c r="C208" s="17">
        <v>49675</v>
      </c>
      <c r="D208" s="32">
        <f t="shared" si="7"/>
        <v>2578823.04080031</v>
      </c>
      <c r="E208" s="32">
        <f t="shared" si="0"/>
        <v>18278.6654010401</v>
      </c>
      <c r="F208" s="32">
        <f t="shared" si="1"/>
        <v>6984.31240216751</v>
      </c>
      <c r="G208" s="32">
        <f t="shared" si="2"/>
        <v>11294.3529988726</v>
      </c>
      <c r="H208" s="32">
        <f t="shared" si="3"/>
        <v>2567528.68780144</v>
      </c>
      <c r="I208" s="32">
        <f t="shared" si="4"/>
        <v>0</v>
      </c>
      <c r="J208" s="32">
        <f t="shared" si="5"/>
        <v>18278.6654010401</v>
      </c>
      <c r="K208" s="18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Height="1" spans="1:26">
      <c r="A209" s="2"/>
      <c r="B209" s="28">
        <f t="shared" si="6"/>
        <v>184</v>
      </c>
      <c r="C209" s="17">
        <v>49706</v>
      </c>
      <c r="D209" s="32">
        <f t="shared" si="7"/>
        <v>2567528.68780144</v>
      </c>
      <c r="E209" s="32">
        <f t="shared" si="0"/>
        <v>18278.6654010401</v>
      </c>
      <c r="F209" s="32">
        <f t="shared" si="1"/>
        <v>6953.72352946223</v>
      </c>
      <c r="G209" s="32">
        <f t="shared" si="2"/>
        <v>11324.9418715778</v>
      </c>
      <c r="H209" s="32">
        <f t="shared" si="3"/>
        <v>2556203.74592986</v>
      </c>
      <c r="I209" s="32">
        <f t="shared" si="4"/>
        <v>0</v>
      </c>
      <c r="J209" s="32">
        <f t="shared" si="5"/>
        <v>18278.6654010401</v>
      </c>
      <c r="K209" s="18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Height="1" spans="1:26">
      <c r="A210" s="2"/>
      <c r="B210" s="28">
        <f t="shared" si="6"/>
        <v>185</v>
      </c>
      <c r="C210" s="17">
        <v>49735</v>
      </c>
      <c r="D210" s="32">
        <f t="shared" si="7"/>
        <v>2556203.74592986</v>
      </c>
      <c r="E210" s="32">
        <f t="shared" si="0"/>
        <v>18278.6654010401</v>
      </c>
      <c r="F210" s="32">
        <f t="shared" si="1"/>
        <v>6923.05181189337</v>
      </c>
      <c r="G210" s="32">
        <f t="shared" si="2"/>
        <v>11355.6135891467</v>
      </c>
      <c r="H210" s="32">
        <f t="shared" si="3"/>
        <v>2544848.13234071</v>
      </c>
      <c r="I210" s="32">
        <f t="shared" si="4"/>
        <v>0</v>
      </c>
      <c r="J210" s="32">
        <f t="shared" si="5"/>
        <v>18278.6654010401</v>
      </c>
      <c r="K210" s="18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Height="1" spans="1:26">
      <c r="A211" s="2"/>
      <c r="B211" s="28">
        <f t="shared" si="6"/>
        <v>186</v>
      </c>
      <c r="C211" s="17">
        <v>49766</v>
      </c>
      <c r="D211" s="32">
        <f t="shared" si="7"/>
        <v>2544848.13234071</v>
      </c>
      <c r="E211" s="32">
        <f t="shared" si="0"/>
        <v>18278.6654010401</v>
      </c>
      <c r="F211" s="32">
        <f t="shared" si="1"/>
        <v>6892.29702508943</v>
      </c>
      <c r="G211" s="32">
        <f t="shared" si="2"/>
        <v>11386.3683759506</v>
      </c>
      <c r="H211" s="32">
        <f t="shared" si="3"/>
        <v>2533461.76396476</v>
      </c>
      <c r="I211" s="32">
        <f t="shared" si="4"/>
        <v>0</v>
      </c>
      <c r="J211" s="32">
        <f t="shared" si="5"/>
        <v>18278.6654010401</v>
      </c>
      <c r="K211" s="18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Height="1" spans="1:26">
      <c r="A212" s="2"/>
      <c r="B212" s="28">
        <f t="shared" si="6"/>
        <v>187</v>
      </c>
      <c r="C212" s="17">
        <v>49796</v>
      </c>
      <c r="D212" s="32">
        <f t="shared" si="7"/>
        <v>2533461.76396476</v>
      </c>
      <c r="E212" s="32">
        <f t="shared" si="0"/>
        <v>18278.6654010401</v>
      </c>
      <c r="F212" s="32">
        <f t="shared" si="1"/>
        <v>6861.45894407123</v>
      </c>
      <c r="G212" s="32">
        <f t="shared" si="2"/>
        <v>11417.2064569688</v>
      </c>
      <c r="H212" s="32">
        <f t="shared" si="3"/>
        <v>2522044.55750779</v>
      </c>
      <c r="I212" s="32">
        <f t="shared" si="4"/>
        <v>0</v>
      </c>
      <c r="J212" s="32">
        <f t="shared" si="5"/>
        <v>18278.6654010401</v>
      </c>
      <c r="K212" s="18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Height="1" spans="1:26">
      <c r="A213" s="2"/>
      <c r="B213" s="28">
        <f t="shared" si="6"/>
        <v>188</v>
      </c>
      <c r="C213" s="17">
        <v>49827</v>
      </c>
      <c r="D213" s="32">
        <f t="shared" si="7"/>
        <v>2522044.55750779</v>
      </c>
      <c r="E213" s="32">
        <f t="shared" si="0"/>
        <v>18278.6654010401</v>
      </c>
      <c r="F213" s="32">
        <f t="shared" si="1"/>
        <v>6830.53734325028</v>
      </c>
      <c r="G213" s="32">
        <f t="shared" si="2"/>
        <v>11448.1280577898</v>
      </c>
      <c r="H213" s="32">
        <f t="shared" si="3"/>
        <v>2510596.42945</v>
      </c>
      <c r="I213" s="32">
        <f t="shared" si="4"/>
        <v>0</v>
      </c>
      <c r="J213" s="32">
        <f t="shared" si="5"/>
        <v>18278.6654010401</v>
      </c>
      <c r="K213" s="18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Height="1" spans="1:26">
      <c r="A214" s="2"/>
      <c r="B214" s="28">
        <f t="shared" si="6"/>
        <v>189</v>
      </c>
      <c r="C214" s="17">
        <v>49857</v>
      </c>
      <c r="D214" s="32">
        <f t="shared" si="7"/>
        <v>2510596.42945</v>
      </c>
      <c r="E214" s="32">
        <f t="shared" si="0"/>
        <v>18278.6654010401</v>
      </c>
      <c r="F214" s="32">
        <f t="shared" si="1"/>
        <v>6799.5319964271</v>
      </c>
      <c r="G214" s="32">
        <f t="shared" si="2"/>
        <v>11479.133404613</v>
      </c>
      <c r="H214" s="32">
        <f t="shared" si="3"/>
        <v>2499117.29604539</v>
      </c>
      <c r="I214" s="32">
        <f t="shared" si="4"/>
        <v>0</v>
      </c>
      <c r="J214" s="32">
        <f t="shared" si="5"/>
        <v>18278.6654010401</v>
      </c>
      <c r="K214" s="18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Height="1" spans="1:26">
      <c r="A215" s="2"/>
      <c r="B215" s="28">
        <f t="shared" si="6"/>
        <v>190</v>
      </c>
      <c r="C215" s="17">
        <v>49888</v>
      </c>
      <c r="D215" s="32">
        <f t="shared" si="7"/>
        <v>2499117.29604539</v>
      </c>
      <c r="E215" s="32">
        <f t="shared" si="0"/>
        <v>18278.6654010401</v>
      </c>
      <c r="F215" s="32">
        <f t="shared" si="1"/>
        <v>6768.4426767896</v>
      </c>
      <c r="G215" s="32">
        <f t="shared" si="2"/>
        <v>11510.2227242505</v>
      </c>
      <c r="H215" s="32">
        <f t="shared" si="3"/>
        <v>2487607.07332114</v>
      </c>
      <c r="I215" s="32">
        <f t="shared" si="4"/>
        <v>0</v>
      </c>
      <c r="J215" s="32">
        <f t="shared" si="5"/>
        <v>18278.6654010401</v>
      </c>
      <c r="K215" s="18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Height="1" spans="1:26">
      <c r="A216" s="2"/>
      <c r="B216" s="28">
        <f t="shared" si="6"/>
        <v>191</v>
      </c>
      <c r="C216" s="17">
        <v>49919</v>
      </c>
      <c r="D216" s="32">
        <f t="shared" si="7"/>
        <v>2487607.07332114</v>
      </c>
      <c r="E216" s="32">
        <f t="shared" si="0"/>
        <v>18278.6654010401</v>
      </c>
      <c r="F216" s="32">
        <f t="shared" si="1"/>
        <v>6737.26915691142</v>
      </c>
      <c r="G216" s="32">
        <f t="shared" si="2"/>
        <v>11541.3962441286</v>
      </c>
      <c r="H216" s="32">
        <f t="shared" si="3"/>
        <v>2476065.67707701</v>
      </c>
      <c r="I216" s="32">
        <f t="shared" si="4"/>
        <v>0</v>
      </c>
      <c r="J216" s="32">
        <f t="shared" si="5"/>
        <v>18278.6654010401</v>
      </c>
      <c r="K216" s="18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Height="1" spans="1:26">
      <c r="A217" s="2"/>
      <c r="B217" s="28">
        <f t="shared" si="6"/>
        <v>192</v>
      </c>
      <c r="C217" s="17">
        <v>49949</v>
      </c>
      <c r="D217" s="32">
        <f t="shared" si="7"/>
        <v>2476065.67707701</v>
      </c>
      <c r="E217" s="32">
        <f t="shared" si="0"/>
        <v>18278.6654010401</v>
      </c>
      <c r="F217" s="32">
        <f t="shared" si="1"/>
        <v>6706.01120875024</v>
      </c>
      <c r="G217" s="32">
        <f t="shared" si="2"/>
        <v>11572.6541922898</v>
      </c>
      <c r="H217" s="32">
        <f t="shared" si="3"/>
        <v>2464493.02288472</v>
      </c>
      <c r="I217" s="32">
        <f t="shared" si="4"/>
        <v>0</v>
      </c>
      <c r="J217" s="32">
        <f t="shared" si="5"/>
        <v>18278.6654010401</v>
      </c>
      <c r="K217" s="18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Height="1" spans="1:26">
      <c r="A218" s="2"/>
      <c r="B218" s="28">
        <f t="shared" si="6"/>
        <v>193</v>
      </c>
      <c r="C218" s="17">
        <v>49980</v>
      </c>
      <c r="D218" s="32">
        <f t="shared" si="7"/>
        <v>2464493.02288472</v>
      </c>
      <c r="E218" s="32">
        <f t="shared" si="0"/>
        <v>18278.6654010401</v>
      </c>
      <c r="F218" s="32">
        <f t="shared" si="1"/>
        <v>6674.66860364612</v>
      </c>
      <c r="G218" s="32">
        <f t="shared" si="2"/>
        <v>11603.9967973939</v>
      </c>
      <c r="H218" s="32">
        <f t="shared" si="3"/>
        <v>2452889.02608733</v>
      </c>
      <c r="I218" s="32">
        <f t="shared" si="4"/>
        <v>0</v>
      </c>
      <c r="J218" s="32">
        <f t="shared" si="5"/>
        <v>18278.6654010401</v>
      </c>
      <c r="K218" s="32">
        <f>SUM(I218:I229)</f>
        <v>0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Height="1" spans="1:26">
      <c r="A219" s="2"/>
      <c r="B219" s="28">
        <f t="shared" si="6"/>
        <v>194</v>
      </c>
      <c r="C219" s="17">
        <v>50010</v>
      </c>
      <c r="D219" s="32">
        <f t="shared" si="7"/>
        <v>2452889.02608733</v>
      </c>
      <c r="E219" s="32">
        <f t="shared" si="0"/>
        <v>18278.6654010401</v>
      </c>
      <c r="F219" s="32">
        <f t="shared" si="1"/>
        <v>6643.24111231985</v>
      </c>
      <c r="G219" s="32">
        <f t="shared" si="2"/>
        <v>11635.4242887202</v>
      </c>
      <c r="H219" s="32">
        <f t="shared" si="3"/>
        <v>2441253.60179861</v>
      </c>
      <c r="I219" s="32">
        <f t="shared" si="4"/>
        <v>0</v>
      </c>
      <c r="J219" s="32">
        <f t="shared" si="5"/>
        <v>18278.6654010401</v>
      </c>
      <c r="K219" s="18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Height="1" spans="1:26">
      <c r="A220" s="2"/>
      <c r="B220" s="28">
        <f t="shared" si="6"/>
        <v>195</v>
      </c>
      <c r="C220" s="17">
        <v>50041</v>
      </c>
      <c r="D220" s="32">
        <f t="shared" si="7"/>
        <v>2441253.60179861</v>
      </c>
      <c r="E220" s="32">
        <f t="shared" si="0"/>
        <v>18278.6654010401</v>
      </c>
      <c r="F220" s="32">
        <f t="shared" si="1"/>
        <v>6611.72850487123</v>
      </c>
      <c r="G220" s="32">
        <f t="shared" si="2"/>
        <v>11666.9368961688</v>
      </c>
      <c r="H220" s="32">
        <f t="shared" si="3"/>
        <v>2429586.66490244</v>
      </c>
      <c r="I220" s="32">
        <f t="shared" si="4"/>
        <v>0</v>
      </c>
      <c r="J220" s="32">
        <f t="shared" si="5"/>
        <v>18278.6654010401</v>
      </c>
      <c r="K220" s="18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Height="1" spans="1:26">
      <c r="A221" s="2"/>
      <c r="B221" s="28">
        <f t="shared" si="6"/>
        <v>196</v>
      </c>
      <c r="C221" s="17">
        <v>50072</v>
      </c>
      <c r="D221" s="32">
        <f t="shared" si="7"/>
        <v>2429586.66490244</v>
      </c>
      <c r="E221" s="32">
        <f t="shared" si="0"/>
        <v>18278.6654010401</v>
      </c>
      <c r="F221" s="32">
        <f t="shared" si="1"/>
        <v>6580.13055077744</v>
      </c>
      <c r="G221" s="32">
        <f t="shared" si="2"/>
        <v>11698.5348502626</v>
      </c>
      <c r="H221" s="32">
        <f t="shared" si="3"/>
        <v>2417888.13005218</v>
      </c>
      <c r="I221" s="32">
        <f t="shared" si="4"/>
        <v>0</v>
      </c>
      <c r="J221" s="32">
        <f t="shared" si="5"/>
        <v>18278.6654010401</v>
      </c>
      <c r="K221" s="18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Height="1" spans="1:26">
      <c r="A222" s="2"/>
      <c r="B222" s="28">
        <f t="shared" si="6"/>
        <v>197</v>
      </c>
      <c r="C222" s="17">
        <v>50100</v>
      </c>
      <c r="D222" s="32">
        <f t="shared" si="7"/>
        <v>2417888.13005218</v>
      </c>
      <c r="E222" s="32">
        <f t="shared" si="0"/>
        <v>18278.6654010401</v>
      </c>
      <c r="F222" s="32">
        <f t="shared" si="1"/>
        <v>6548.44701889131</v>
      </c>
      <c r="G222" s="32">
        <f t="shared" si="2"/>
        <v>11730.2183821488</v>
      </c>
      <c r="H222" s="32">
        <f t="shared" si="3"/>
        <v>2406157.91167003</v>
      </c>
      <c r="I222" s="32">
        <f t="shared" si="4"/>
        <v>0</v>
      </c>
      <c r="J222" s="32">
        <f t="shared" si="5"/>
        <v>18278.6654010401</v>
      </c>
      <c r="K222" s="18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Height="1" spans="1:26">
      <c r="A223" s="2"/>
      <c r="B223" s="28">
        <f t="shared" si="6"/>
        <v>198</v>
      </c>
      <c r="C223" s="17">
        <v>50131</v>
      </c>
      <c r="D223" s="32">
        <f t="shared" si="7"/>
        <v>2406157.91167003</v>
      </c>
      <c r="E223" s="32">
        <f t="shared" si="0"/>
        <v>18278.6654010401</v>
      </c>
      <c r="F223" s="32">
        <f t="shared" si="1"/>
        <v>6516.67767743966</v>
      </c>
      <c r="G223" s="32">
        <f t="shared" si="2"/>
        <v>11761.9877236004</v>
      </c>
      <c r="H223" s="32">
        <f t="shared" si="3"/>
        <v>2394395.92394643</v>
      </c>
      <c r="I223" s="32">
        <f t="shared" si="4"/>
        <v>0</v>
      </c>
      <c r="J223" s="32">
        <f t="shared" si="5"/>
        <v>18278.6654010401</v>
      </c>
      <c r="K223" s="18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Height="1" spans="1:26">
      <c r="A224" s="2"/>
      <c r="B224" s="28">
        <f t="shared" si="6"/>
        <v>199</v>
      </c>
      <c r="C224" s="17">
        <v>50161</v>
      </c>
      <c r="D224" s="32">
        <f t="shared" si="7"/>
        <v>2394395.92394643</v>
      </c>
      <c r="E224" s="32">
        <f t="shared" si="0"/>
        <v>18278.6654010401</v>
      </c>
      <c r="F224" s="32">
        <f t="shared" si="1"/>
        <v>6484.82229402158</v>
      </c>
      <c r="G224" s="32">
        <f t="shared" si="2"/>
        <v>11793.8431070185</v>
      </c>
      <c r="H224" s="32">
        <f t="shared" si="3"/>
        <v>2382602.08083941</v>
      </c>
      <c r="I224" s="32">
        <f t="shared" si="4"/>
        <v>0</v>
      </c>
      <c r="J224" s="32">
        <f t="shared" si="5"/>
        <v>18278.6654010401</v>
      </c>
      <c r="K224" s="18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Height="1" spans="1:26">
      <c r="A225" s="2"/>
      <c r="B225" s="28">
        <f t="shared" si="6"/>
        <v>200</v>
      </c>
      <c r="C225" s="17">
        <v>50192</v>
      </c>
      <c r="D225" s="32">
        <f t="shared" si="7"/>
        <v>2382602.08083941</v>
      </c>
      <c r="E225" s="32">
        <f t="shared" si="0"/>
        <v>18278.6654010401</v>
      </c>
      <c r="F225" s="32">
        <f t="shared" si="1"/>
        <v>6452.88063560673</v>
      </c>
      <c r="G225" s="32">
        <f t="shared" si="2"/>
        <v>11825.7847654333</v>
      </c>
      <c r="H225" s="32">
        <f t="shared" si="3"/>
        <v>2370776.29607398</v>
      </c>
      <c r="I225" s="32">
        <f t="shared" si="4"/>
        <v>0</v>
      </c>
      <c r="J225" s="32">
        <f t="shared" si="5"/>
        <v>18278.6654010401</v>
      </c>
      <c r="K225" s="18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Height="1" spans="1:26">
      <c r="A226" s="2"/>
      <c r="B226" s="28">
        <f t="shared" si="6"/>
        <v>201</v>
      </c>
      <c r="C226" s="17">
        <v>50222</v>
      </c>
      <c r="D226" s="32">
        <f t="shared" si="7"/>
        <v>2370776.29607398</v>
      </c>
      <c r="E226" s="32">
        <f t="shared" si="0"/>
        <v>18278.6654010401</v>
      </c>
      <c r="F226" s="32">
        <f t="shared" si="1"/>
        <v>6420.85246853368</v>
      </c>
      <c r="G226" s="32">
        <f t="shared" si="2"/>
        <v>11857.8129325064</v>
      </c>
      <c r="H226" s="32">
        <f t="shared" si="3"/>
        <v>2358918.48314147</v>
      </c>
      <c r="I226" s="32">
        <f t="shared" si="4"/>
        <v>0</v>
      </c>
      <c r="J226" s="32">
        <f t="shared" si="5"/>
        <v>18278.6654010401</v>
      </c>
      <c r="K226" s="18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Height="1" spans="1:26">
      <c r="A227" s="2"/>
      <c r="B227" s="28">
        <f t="shared" si="6"/>
        <v>202</v>
      </c>
      <c r="C227" s="17">
        <v>50253</v>
      </c>
      <c r="D227" s="32">
        <f t="shared" si="7"/>
        <v>2358918.48314147</v>
      </c>
      <c r="E227" s="32">
        <f t="shared" si="0"/>
        <v>18278.6654010401</v>
      </c>
      <c r="F227" s="32">
        <f t="shared" si="1"/>
        <v>6388.73755850815</v>
      </c>
      <c r="G227" s="32">
        <f t="shared" si="2"/>
        <v>11889.9278425319</v>
      </c>
      <c r="H227" s="32">
        <f t="shared" si="3"/>
        <v>2347028.55529894</v>
      </c>
      <c r="I227" s="32">
        <f t="shared" si="4"/>
        <v>0</v>
      </c>
      <c r="J227" s="32">
        <f t="shared" si="5"/>
        <v>18278.6654010401</v>
      </c>
      <c r="K227" s="18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Height="1" spans="1:26">
      <c r="A228" s="2"/>
      <c r="B228" s="28">
        <f t="shared" si="6"/>
        <v>203</v>
      </c>
      <c r="C228" s="17">
        <v>50284</v>
      </c>
      <c r="D228" s="32">
        <f t="shared" si="7"/>
        <v>2347028.55529894</v>
      </c>
      <c r="E228" s="32">
        <f t="shared" si="0"/>
        <v>18278.6654010401</v>
      </c>
      <c r="F228" s="32">
        <f t="shared" si="1"/>
        <v>6356.53567060129</v>
      </c>
      <c r="G228" s="32">
        <f t="shared" si="2"/>
        <v>11922.1297304388</v>
      </c>
      <c r="H228" s="32">
        <f t="shared" si="3"/>
        <v>2335106.4255685</v>
      </c>
      <c r="I228" s="32">
        <f t="shared" si="4"/>
        <v>0</v>
      </c>
      <c r="J228" s="32">
        <f t="shared" si="5"/>
        <v>18278.6654010401</v>
      </c>
      <c r="K228" s="18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Height="1" spans="1:26">
      <c r="A229" s="2"/>
      <c r="B229" s="28">
        <f t="shared" si="6"/>
        <v>204</v>
      </c>
      <c r="C229" s="17">
        <v>50314</v>
      </c>
      <c r="D229" s="32">
        <f t="shared" si="7"/>
        <v>2335106.4255685</v>
      </c>
      <c r="E229" s="32">
        <f t="shared" si="0"/>
        <v>18278.6654010401</v>
      </c>
      <c r="F229" s="32">
        <f t="shared" si="1"/>
        <v>6324.24656924802</v>
      </c>
      <c r="G229" s="32">
        <f t="shared" si="2"/>
        <v>11954.418831792</v>
      </c>
      <c r="H229" s="32">
        <f t="shared" si="3"/>
        <v>2323152.00673671</v>
      </c>
      <c r="I229" s="32">
        <f t="shared" si="4"/>
        <v>0</v>
      </c>
      <c r="J229" s="32">
        <f t="shared" si="5"/>
        <v>18278.6654010401</v>
      </c>
      <c r="K229" s="18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Height="1" spans="1:26">
      <c r="A230" s="2"/>
      <c r="B230" s="28">
        <f t="shared" si="6"/>
        <v>205</v>
      </c>
      <c r="C230" s="17">
        <v>50345</v>
      </c>
      <c r="D230" s="32">
        <f t="shared" si="7"/>
        <v>2323152.00673671</v>
      </c>
      <c r="E230" s="32">
        <f t="shared" si="0"/>
        <v>18278.6654010401</v>
      </c>
      <c r="F230" s="32">
        <f t="shared" si="1"/>
        <v>6291.87001824525</v>
      </c>
      <c r="G230" s="32">
        <f t="shared" si="2"/>
        <v>11986.7953827948</v>
      </c>
      <c r="H230" s="32">
        <f t="shared" si="3"/>
        <v>2311165.21135391</v>
      </c>
      <c r="I230" s="32">
        <f t="shared" si="4"/>
        <v>0</v>
      </c>
      <c r="J230" s="32">
        <f t="shared" si="5"/>
        <v>18278.6654010401</v>
      </c>
      <c r="K230" s="32">
        <f>SUM(I230:I241)</f>
        <v>0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Height="1" spans="1:26">
      <c r="A231" s="2"/>
      <c r="B231" s="28">
        <f t="shared" si="6"/>
        <v>206</v>
      </c>
      <c r="C231" s="17">
        <v>50375</v>
      </c>
      <c r="D231" s="32">
        <f t="shared" si="7"/>
        <v>2311165.21135391</v>
      </c>
      <c r="E231" s="32">
        <f t="shared" si="0"/>
        <v>18278.6654010401</v>
      </c>
      <c r="F231" s="32">
        <f t="shared" si="1"/>
        <v>6259.40578075018</v>
      </c>
      <c r="G231" s="32">
        <f t="shared" si="2"/>
        <v>12019.2596202899</v>
      </c>
      <c r="H231" s="32">
        <f t="shared" si="3"/>
        <v>2299145.95173362</v>
      </c>
      <c r="I231" s="32">
        <f t="shared" si="4"/>
        <v>0</v>
      </c>
      <c r="J231" s="32">
        <f t="shared" si="5"/>
        <v>18278.6654010401</v>
      </c>
      <c r="K231" s="18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Height="1" spans="1:26">
      <c r="A232" s="2"/>
      <c r="B232" s="28">
        <f t="shared" si="6"/>
        <v>207</v>
      </c>
      <c r="C232" s="17">
        <v>50406</v>
      </c>
      <c r="D232" s="32">
        <f t="shared" si="7"/>
        <v>2299145.95173362</v>
      </c>
      <c r="E232" s="32">
        <f t="shared" si="0"/>
        <v>18278.6654010401</v>
      </c>
      <c r="F232" s="32">
        <f t="shared" si="1"/>
        <v>6226.85361927856</v>
      </c>
      <c r="G232" s="32">
        <f t="shared" si="2"/>
        <v>12051.8117817615</v>
      </c>
      <c r="H232" s="32">
        <f t="shared" si="3"/>
        <v>2287094.13995186</v>
      </c>
      <c r="I232" s="32">
        <f t="shared" si="4"/>
        <v>0</v>
      </c>
      <c r="J232" s="32">
        <f t="shared" si="5"/>
        <v>18278.6654010401</v>
      </c>
      <c r="K232" s="18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Height="1" spans="1:26">
      <c r="A233" s="2"/>
      <c r="B233" s="28">
        <f t="shared" si="6"/>
        <v>208</v>
      </c>
      <c r="C233" s="17">
        <v>50437</v>
      </c>
      <c r="D233" s="32">
        <f t="shared" si="7"/>
        <v>2287094.13995186</v>
      </c>
      <c r="E233" s="32">
        <f t="shared" si="0"/>
        <v>18278.6654010401</v>
      </c>
      <c r="F233" s="32">
        <f t="shared" si="1"/>
        <v>6194.21329570295</v>
      </c>
      <c r="G233" s="32">
        <f t="shared" si="2"/>
        <v>12084.4521053371</v>
      </c>
      <c r="H233" s="32">
        <f t="shared" si="3"/>
        <v>2275009.68784652</v>
      </c>
      <c r="I233" s="32">
        <f t="shared" si="4"/>
        <v>0</v>
      </c>
      <c r="J233" s="32">
        <f t="shared" si="5"/>
        <v>18278.6654010401</v>
      </c>
      <c r="K233" s="18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Height="1" spans="1:26">
      <c r="A234" s="2"/>
      <c r="B234" s="28">
        <f t="shared" si="6"/>
        <v>209</v>
      </c>
      <c r="C234" s="17">
        <v>50465</v>
      </c>
      <c r="D234" s="32">
        <f t="shared" si="7"/>
        <v>2275009.68784652</v>
      </c>
      <c r="E234" s="32">
        <f t="shared" si="0"/>
        <v>18278.6654010401</v>
      </c>
      <c r="F234" s="32">
        <f t="shared" si="1"/>
        <v>6161.484571251</v>
      </c>
      <c r="G234" s="32">
        <f t="shared" si="2"/>
        <v>12117.1808297891</v>
      </c>
      <c r="H234" s="32">
        <f t="shared" si="3"/>
        <v>2262892.50701673</v>
      </c>
      <c r="I234" s="32">
        <f t="shared" si="4"/>
        <v>0</v>
      </c>
      <c r="J234" s="32">
        <f t="shared" si="5"/>
        <v>18278.6654010401</v>
      </c>
      <c r="K234" s="18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Height="1" spans="1:26">
      <c r="A235" s="2"/>
      <c r="B235" s="28">
        <f t="shared" si="6"/>
        <v>210</v>
      </c>
      <c r="C235" s="17">
        <v>50496</v>
      </c>
      <c r="D235" s="32">
        <f t="shared" si="7"/>
        <v>2262892.50701673</v>
      </c>
      <c r="E235" s="32">
        <f t="shared" si="0"/>
        <v>18278.6654010401</v>
      </c>
      <c r="F235" s="32">
        <f t="shared" si="1"/>
        <v>6128.66720650365</v>
      </c>
      <c r="G235" s="32">
        <f t="shared" si="2"/>
        <v>12149.9981945364</v>
      </c>
      <c r="H235" s="32">
        <f t="shared" si="3"/>
        <v>2250742.5088222</v>
      </c>
      <c r="I235" s="32">
        <f t="shared" si="4"/>
        <v>0</v>
      </c>
      <c r="J235" s="32">
        <f t="shared" si="5"/>
        <v>18278.6654010401</v>
      </c>
      <c r="K235" s="18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Height="1" spans="1:26">
      <c r="A236" s="2"/>
      <c r="B236" s="28">
        <f t="shared" si="6"/>
        <v>211</v>
      </c>
      <c r="C236" s="17">
        <v>50526</v>
      </c>
      <c r="D236" s="32">
        <f t="shared" si="7"/>
        <v>2250742.5088222</v>
      </c>
      <c r="E236" s="32">
        <f t="shared" si="0"/>
        <v>18278.6654010401</v>
      </c>
      <c r="F236" s="32">
        <f t="shared" si="1"/>
        <v>6095.76096139345</v>
      </c>
      <c r="G236" s="32">
        <f t="shared" si="2"/>
        <v>12182.9044396466</v>
      </c>
      <c r="H236" s="32">
        <f t="shared" si="3"/>
        <v>2238559.60438255</v>
      </c>
      <c r="I236" s="32">
        <f t="shared" si="4"/>
        <v>0</v>
      </c>
      <c r="J236" s="32">
        <f t="shared" si="5"/>
        <v>18278.6654010401</v>
      </c>
      <c r="K236" s="18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Height="1" spans="1:26">
      <c r="A237" s="2"/>
      <c r="B237" s="28">
        <f t="shared" si="6"/>
        <v>212</v>
      </c>
      <c r="C237" s="17">
        <v>50557</v>
      </c>
      <c r="D237" s="32">
        <f t="shared" si="7"/>
        <v>2238559.60438255</v>
      </c>
      <c r="E237" s="32">
        <f t="shared" si="0"/>
        <v>18278.6654010401</v>
      </c>
      <c r="F237" s="32">
        <f t="shared" si="1"/>
        <v>6062.76559520274</v>
      </c>
      <c r="G237" s="32">
        <f t="shared" si="2"/>
        <v>12215.8998058373</v>
      </c>
      <c r="H237" s="32">
        <f t="shared" si="3"/>
        <v>2226343.70457671</v>
      </c>
      <c r="I237" s="32">
        <f t="shared" si="4"/>
        <v>0</v>
      </c>
      <c r="J237" s="32">
        <f t="shared" si="5"/>
        <v>18278.6654010401</v>
      </c>
      <c r="K237" s="18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Height="1" spans="1:26">
      <c r="A238" s="2"/>
      <c r="B238" s="28">
        <f t="shared" si="6"/>
        <v>213</v>
      </c>
      <c r="C238" s="17">
        <v>50587</v>
      </c>
      <c r="D238" s="32">
        <f t="shared" si="7"/>
        <v>2226343.70457671</v>
      </c>
      <c r="E238" s="32">
        <f t="shared" si="0"/>
        <v>18278.6654010401</v>
      </c>
      <c r="F238" s="32">
        <f t="shared" si="1"/>
        <v>6029.68086656193</v>
      </c>
      <c r="G238" s="32">
        <f t="shared" si="2"/>
        <v>12248.9845344781</v>
      </c>
      <c r="H238" s="32">
        <f t="shared" si="3"/>
        <v>2214094.72004224</v>
      </c>
      <c r="I238" s="32">
        <f t="shared" si="4"/>
        <v>0</v>
      </c>
      <c r="J238" s="32">
        <f t="shared" si="5"/>
        <v>18278.6654010401</v>
      </c>
      <c r="K238" s="18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Height="1" spans="1:26">
      <c r="A239" s="2"/>
      <c r="B239" s="28">
        <f t="shared" si="6"/>
        <v>214</v>
      </c>
      <c r="C239" s="17">
        <v>50618</v>
      </c>
      <c r="D239" s="32">
        <f t="shared" si="7"/>
        <v>2214094.72004224</v>
      </c>
      <c r="E239" s="32">
        <f t="shared" si="0"/>
        <v>18278.6654010401</v>
      </c>
      <c r="F239" s="32">
        <f t="shared" si="1"/>
        <v>5996.50653344772</v>
      </c>
      <c r="G239" s="32">
        <f t="shared" si="2"/>
        <v>12282.1588675923</v>
      </c>
      <c r="H239" s="32">
        <f t="shared" si="3"/>
        <v>2201812.56117464</v>
      </c>
      <c r="I239" s="32">
        <f t="shared" si="4"/>
        <v>0</v>
      </c>
      <c r="J239" s="32">
        <f t="shared" si="5"/>
        <v>18278.6654010401</v>
      </c>
      <c r="K239" s="18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Height="1" spans="1:26">
      <c r="A240" s="2"/>
      <c r="B240" s="28">
        <f t="shared" si="6"/>
        <v>215</v>
      </c>
      <c r="C240" s="17">
        <v>50649</v>
      </c>
      <c r="D240" s="32">
        <f t="shared" si="7"/>
        <v>2201812.56117464</v>
      </c>
      <c r="E240" s="32">
        <f t="shared" si="0"/>
        <v>18278.6654010401</v>
      </c>
      <c r="F240" s="32">
        <f t="shared" si="1"/>
        <v>5963.24235318132</v>
      </c>
      <c r="G240" s="32">
        <f t="shared" si="2"/>
        <v>12315.4230478587</v>
      </c>
      <c r="H240" s="32">
        <f t="shared" si="3"/>
        <v>2189497.13812678</v>
      </c>
      <c r="I240" s="32">
        <f t="shared" si="4"/>
        <v>0</v>
      </c>
      <c r="J240" s="32">
        <f t="shared" si="5"/>
        <v>18278.6654010401</v>
      </c>
      <c r="K240" s="18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Height="1" spans="1:26">
      <c r="A241" s="2"/>
      <c r="B241" s="28">
        <f t="shared" si="6"/>
        <v>216</v>
      </c>
      <c r="C241" s="17">
        <v>50679</v>
      </c>
      <c r="D241" s="32">
        <f t="shared" si="7"/>
        <v>2189497.13812678</v>
      </c>
      <c r="E241" s="32">
        <f t="shared" si="0"/>
        <v>18278.6654010401</v>
      </c>
      <c r="F241" s="32">
        <f t="shared" si="1"/>
        <v>5929.88808242671</v>
      </c>
      <c r="G241" s="32">
        <f t="shared" si="2"/>
        <v>12348.7773186134</v>
      </c>
      <c r="H241" s="32">
        <f t="shared" si="3"/>
        <v>2177148.36080817</v>
      </c>
      <c r="I241" s="32">
        <f t="shared" si="4"/>
        <v>0</v>
      </c>
      <c r="J241" s="32">
        <f t="shared" si="5"/>
        <v>18278.6654010401</v>
      </c>
      <c r="K241" s="18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Height="1" spans="1:26">
      <c r="A242" s="2"/>
      <c r="B242" s="28">
        <f t="shared" si="6"/>
        <v>217</v>
      </c>
      <c r="C242" s="17">
        <v>50710</v>
      </c>
      <c r="D242" s="32">
        <f t="shared" si="7"/>
        <v>2177148.36080817</v>
      </c>
      <c r="E242" s="32">
        <f t="shared" si="0"/>
        <v>18278.6654010401</v>
      </c>
      <c r="F242" s="32">
        <f t="shared" si="1"/>
        <v>5896.4434771888</v>
      </c>
      <c r="G242" s="32">
        <f t="shared" si="2"/>
        <v>12382.2219238513</v>
      </c>
      <c r="H242" s="32">
        <f t="shared" si="3"/>
        <v>2164766.13888432</v>
      </c>
      <c r="I242" s="32">
        <f t="shared" si="4"/>
        <v>0</v>
      </c>
      <c r="J242" s="32">
        <f t="shared" si="5"/>
        <v>18278.6654010401</v>
      </c>
      <c r="K242" s="32">
        <f>SUM(I242:I253)</f>
        <v>0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Height="1" spans="1:26">
      <c r="A243" s="2"/>
      <c r="B243" s="28">
        <f t="shared" si="6"/>
        <v>218</v>
      </c>
      <c r="C243" s="17">
        <v>50740</v>
      </c>
      <c r="D243" s="32">
        <f t="shared" si="7"/>
        <v>2164766.13888432</v>
      </c>
      <c r="E243" s="32">
        <f t="shared" si="0"/>
        <v>18278.6654010401</v>
      </c>
      <c r="F243" s="32">
        <f t="shared" si="1"/>
        <v>5862.9082928117</v>
      </c>
      <c r="G243" s="32">
        <f t="shared" si="2"/>
        <v>12415.7571082284</v>
      </c>
      <c r="H243" s="32">
        <f t="shared" si="3"/>
        <v>2152350.38177609</v>
      </c>
      <c r="I243" s="32">
        <f t="shared" si="4"/>
        <v>0</v>
      </c>
      <c r="J243" s="32">
        <f t="shared" si="5"/>
        <v>18278.6654010401</v>
      </c>
      <c r="K243" s="18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Height="1" spans="1:26">
      <c r="A244" s="2"/>
      <c r="B244" s="28">
        <f t="shared" si="6"/>
        <v>219</v>
      </c>
      <c r="C244" s="17">
        <v>50771</v>
      </c>
      <c r="D244" s="32">
        <f t="shared" si="7"/>
        <v>2152350.38177609</v>
      </c>
      <c r="E244" s="32">
        <f t="shared" si="0"/>
        <v>18278.6654010401</v>
      </c>
      <c r="F244" s="32">
        <f t="shared" si="1"/>
        <v>5829.28228397691</v>
      </c>
      <c r="G244" s="32">
        <f t="shared" si="2"/>
        <v>12449.3831170632</v>
      </c>
      <c r="H244" s="32">
        <f t="shared" si="3"/>
        <v>2139900.99865903</v>
      </c>
      <c r="I244" s="32">
        <f t="shared" si="4"/>
        <v>0</v>
      </c>
      <c r="J244" s="32">
        <f t="shared" si="5"/>
        <v>18278.6654010401</v>
      </c>
      <c r="K244" s="18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Height="1" spans="1:26">
      <c r="A245" s="2"/>
      <c r="B245" s="28">
        <f t="shared" si="6"/>
        <v>220</v>
      </c>
      <c r="C245" s="17">
        <v>50802</v>
      </c>
      <c r="D245" s="32">
        <f t="shared" si="7"/>
        <v>2139900.99865903</v>
      </c>
      <c r="E245" s="32">
        <f t="shared" si="0"/>
        <v>18278.6654010401</v>
      </c>
      <c r="F245" s="32">
        <f t="shared" si="1"/>
        <v>5795.56520470153</v>
      </c>
      <c r="G245" s="32">
        <f t="shared" si="2"/>
        <v>12483.1001963385</v>
      </c>
      <c r="H245" s="32">
        <f t="shared" si="3"/>
        <v>2127417.89846269</v>
      </c>
      <c r="I245" s="32">
        <f t="shared" si="4"/>
        <v>0</v>
      </c>
      <c r="J245" s="32">
        <f t="shared" si="5"/>
        <v>18278.6654010401</v>
      </c>
      <c r="K245" s="18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Height="1" spans="1:26">
      <c r="A246" s="2"/>
      <c r="B246" s="28">
        <f t="shared" si="6"/>
        <v>221</v>
      </c>
      <c r="C246" s="17">
        <v>50830</v>
      </c>
      <c r="D246" s="32">
        <f t="shared" si="7"/>
        <v>2127417.89846269</v>
      </c>
      <c r="E246" s="32">
        <f t="shared" si="0"/>
        <v>18278.6654010401</v>
      </c>
      <c r="F246" s="32">
        <f t="shared" si="1"/>
        <v>5761.75680833645</v>
      </c>
      <c r="G246" s="32">
        <f t="shared" si="2"/>
        <v>12516.9085927036</v>
      </c>
      <c r="H246" s="32">
        <f t="shared" si="3"/>
        <v>2114900.98986999</v>
      </c>
      <c r="I246" s="32">
        <f t="shared" si="4"/>
        <v>0</v>
      </c>
      <c r="J246" s="32">
        <f t="shared" si="5"/>
        <v>18278.6654010401</v>
      </c>
      <c r="K246" s="18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Height="1" spans="1:26">
      <c r="A247" s="2"/>
      <c r="B247" s="28">
        <f t="shared" si="6"/>
        <v>222</v>
      </c>
      <c r="C247" s="17">
        <v>50861</v>
      </c>
      <c r="D247" s="32">
        <f t="shared" si="7"/>
        <v>2114900.98986999</v>
      </c>
      <c r="E247" s="32">
        <f t="shared" si="0"/>
        <v>18278.6654010401</v>
      </c>
      <c r="F247" s="32">
        <f t="shared" si="1"/>
        <v>5727.85684756455</v>
      </c>
      <c r="G247" s="32">
        <f t="shared" si="2"/>
        <v>12550.8085534755</v>
      </c>
      <c r="H247" s="32">
        <f t="shared" si="3"/>
        <v>2102350.18131651</v>
      </c>
      <c r="I247" s="32">
        <f t="shared" si="4"/>
        <v>0</v>
      </c>
      <c r="J247" s="32">
        <f t="shared" si="5"/>
        <v>18278.6654010401</v>
      </c>
      <c r="K247" s="18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Height="1" spans="1:26">
      <c r="A248" s="2"/>
      <c r="B248" s="28">
        <f t="shared" si="6"/>
        <v>223</v>
      </c>
      <c r="C248" s="17">
        <v>50891</v>
      </c>
      <c r="D248" s="32">
        <f t="shared" si="7"/>
        <v>2102350.18131651</v>
      </c>
      <c r="E248" s="32">
        <f t="shared" si="0"/>
        <v>18278.6654010401</v>
      </c>
      <c r="F248" s="32">
        <f t="shared" si="1"/>
        <v>5693.86507439888</v>
      </c>
      <c r="G248" s="32">
        <f t="shared" si="2"/>
        <v>12584.8003266412</v>
      </c>
      <c r="H248" s="32">
        <f t="shared" si="3"/>
        <v>2089765.38098987</v>
      </c>
      <c r="I248" s="32">
        <f t="shared" si="4"/>
        <v>0</v>
      </c>
      <c r="J248" s="32">
        <f t="shared" si="5"/>
        <v>18278.6654010401</v>
      </c>
      <c r="K248" s="18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Height="1" spans="1:26">
      <c r="A249" s="2"/>
      <c r="B249" s="28">
        <f t="shared" si="6"/>
        <v>224</v>
      </c>
      <c r="C249" s="17">
        <v>50922</v>
      </c>
      <c r="D249" s="32">
        <f t="shared" si="7"/>
        <v>2089765.38098987</v>
      </c>
      <c r="E249" s="32">
        <f t="shared" si="0"/>
        <v>18278.6654010401</v>
      </c>
      <c r="F249" s="32">
        <f t="shared" si="1"/>
        <v>5659.7812401809</v>
      </c>
      <c r="G249" s="32">
        <f t="shared" si="2"/>
        <v>12618.8841608592</v>
      </c>
      <c r="H249" s="32">
        <f t="shared" si="3"/>
        <v>2077146.49682901</v>
      </c>
      <c r="I249" s="32">
        <f t="shared" si="4"/>
        <v>0</v>
      </c>
      <c r="J249" s="32">
        <f t="shared" si="5"/>
        <v>18278.6654010401</v>
      </c>
      <c r="K249" s="18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Height="1" spans="1:26">
      <c r="A250" s="2"/>
      <c r="B250" s="28">
        <f t="shared" si="6"/>
        <v>225</v>
      </c>
      <c r="C250" s="17">
        <v>50952</v>
      </c>
      <c r="D250" s="32">
        <f t="shared" si="7"/>
        <v>2077146.49682901</v>
      </c>
      <c r="E250" s="32">
        <f t="shared" si="0"/>
        <v>18278.6654010401</v>
      </c>
      <c r="F250" s="32">
        <f t="shared" si="1"/>
        <v>5625.60509557857</v>
      </c>
      <c r="G250" s="32">
        <f t="shared" si="2"/>
        <v>12653.0603054615</v>
      </c>
      <c r="H250" s="32">
        <f t="shared" si="3"/>
        <v>2064493.43652355</v>
      </c>
      <c r="I250" s="32">
        <f t="shared" si="4"/>
        <v>0</v>
      </c>
      <c r="J250" s="32">
        <f t="shared" si="5"/>
        <v>18278.6654010401</v>
      </c>
      <c r="K250" s="18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Height="1" spans="1:26">
      <c r="A251" s="2"/>
      <c r="B251" s="28">
        <f t="shared" si="6"/>
        <v>226</v>
      </c>
      <c r="C251" s="17">
        <v>50983</v>
      </c>
      <c r="D251" s="32">
        <f t="shared" si="7"/>
        <v>2064493.43652355</v>
      </c>
      <c r="E251" s="32">
        <f t="shared" si="0"/>
        <v>18278.6654010401</v>
      </c>
      <c r="F251" s="32">
        <f t="shared" si="1"/>
        <v>5591.33639058461</v>
      </c>
      <c r="G251" s="32">
        <f t="shared" si="2"/>
        <v>12687.3290104555</v>
      </c>
      <c r="H251" s="32">
        <f t="shared" si="3"/>
        <v>2051806.10751309</v>
      </c>
      <c r="I251" s="32">
        <f t="shared" si="4"/>
        <v>0</v>
      </c>
      <c r="J251" s="32">
        <f t="shared" si="5"/>
        <v>18278.6654010401</v>
      </c>
      <c r="K251" s="18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Height="1" spans="1:26">
      <c r="A252" s="2"/>
      <c r="B252" s="28">
        <f t="shared" si="6"/>
        <v>227</v>
      </c>
      <c r="C252" s="17">
        <v>51014</v>
      </c>
      <c r="D252" s="32">
        <f t="shared" si="7"/>
        <v>2051806.10751309</v>
      </c>
      <c r="E252" s="32">
        <f t="shared" si="0"/>
        <v>18278.6654010401</v>
      </c>
      <c r="F252" s="32">
        <f t="shared" si="1"/>
        <v>5556.97487451463</v>
      </c>
      <c r="G252" s="32">
        <f t="shared" si="2"/>
        <v>12721.6905265254</v>
      </c>
      <c r="H252" s="32">
        <f t="shared" si="3"/>
        <v>2039084.41698657</v>
      </c>
      <c r="I252" s="32">
        <f t="shared" si="4"/>
        <v>0</v>
      </c>
      <c r="J252" s="32">
        <f t="shared" si="5"/>
        <v>18278.6654010401</v>
      </c>
      <c r="K252" s="18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Height="1" spans="1:26">
      <c r="A253" s="2"/>
      <c r="B253" s="28">
        <f t="shared" si="6"/>
        <v>228</v>
      </c>
      <c r="C253" s="17">
        <v>51044</v>
      </c>
      <c r="D253" s="32">
        <f t="shared" si="7"/>
        <v>2039084.41698657</v>
      </c>
      <c r="E253" s="32">
        <f t="shared" si="0"/>
        <v>18278.6654010401</v>
      </c>
      <c r="F253" s="32">
        <f t="shared" si="1"/>
        <v>5522.52029600529</v>
      </c>
      <c r="G253" s="32">
        <f t="shared" si="2"/>
        <v>12756.1451050348</v>
      </c>
      <c r="H253" s="32">
        <f t="shared" si="3"/>
        <v>2026328.27188153</v>
      </c>
      <c r="I253" s="32">
        <f t="shared" si="4"/>
        <v>0</v>
      </c>
      <c r="J253" s="32">
        <f t="shared" si="5"/>
        <v>18278.6654010401</v>
      </c>
      <c r="K253" s="18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Height="1" spans="1:26">
      <c r="A254" s="2"/>
      <c r="B254" s="28">
        <f t="shared" si="6"/>
        <v>229</v>
      </c>
      <c r="C254" s="17">
        <v>51075</v>
      </c>
      <c r="D254" s="32">
        <f t="shared" si="7"/>
        <v>2026328.27188153</v>
      </c>
      <c r="E254" s="32">
        <f t="shared" si="0"/>
        <v>18278.6654010401</v>
      </c>
      <c r="F254" s="32">
        <f t="shared" si="1"/>
        <v>5487.97240301248</v>
      </c>
      <c r="G254" s="32">
        <f t="shared" si="2"/>
        <v>12790.6929980276</v>
      </c>
      <c r="H254" s="32">
        <f t="shared" si="3"/>
        <v>2013537.5788835</v>
      </c>
      <c r="I254" s="32">
        <f t="shared" si="4"/>
        <v>0</v>
      </c>
      <c r="J254" s="32">
        <f t="shared" si="5"/>
        <v>18278.6654010401</v>
      </c>
      <c r="K254" s="32">
        <f>SUM(I254:I265)</f>
        <v>0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Height="1" spans="1:26">
      <c r="A255" s="2"/>
      <c r="B255" s="28">
        <f t="shared" si="6"/>
        <v>230</v>
      </c>
      <c r="C255" s="17">
        <v>51105</v>
      </c>
      <c r="D255" s="32">
        <f t="shared" si="7"/>
        <v>2013537.5788835</v>
      </c>
      <c r="E255" s="32">
        <f t="shared" si="0"/>
        <v>18278.6654010401</v>
      </c>
      <c r="F255" s="32">
        <f t="shared" si="1"/>
        <v>5453.33094280949</v>
      </c>
      <c r="G255" s="32">
        <f t="shared" si="2"/>
        <v>12825.3344582306</v>
      </c>
      <c r="H255" s="32">
        <f t="shared" si="3"/>
        <v>2000712.24442527</v>
      </c>
      <c r="I255" s="32">
        <f t="shared" si="4"/>
        <v>0</v>
      </c>
      <c r="J255" s="32">
        <f t="shared" si="5"/>
        <v>18278.6654010401</v>
      </c>
      <c r="K255" s="18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Height="1" spans="1:26">
      <c r="A256" s="2"/>
      <c r="B256" s="28">
        <f t="shared" si="6"/>
        <v>231</v>
      </c>
      <c r="C256" s="17">
        <v>51136</v>
      </c>
      <c r="D256" s="32">
        <f t="shared" si="7"/>
        <v>2000712.24442527</v>
      </c>
      <c r="E256" s="32">
        <f t="shared" si="0"/>
        <v>18278.6654010401</v>
      </c>
      <c r="F256" s="32">
        <f t="shared" si="1"/>
        <v>5418.59566198512</v>
      </c>
      <c r="G256" s="32">
        <f t="shared" si="2"/>
        <v>12860.0697390549</v>
      </c>
      <c r="H256" s="32">
        <f t="shared" si="3"/>
        <v>1987852.17468622</v>
      </c>
      <c r="I256" s="32">
        <f t="shared" si="4"/>
        <v>0</v>
      </c>
      <c r="J256" s="32">
        <f t="shared" si="5"/>
        <v>18278.6654010401</v>
      </c>
      <c r="K256" s="18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Height="1" spans="1:26">
      <c r="A257" s="2"/>
      <c r="B257" s="28">
        <f t="shared" si="6"/>
        <v>232</v>
      </c>
      <c r="C257" s="17">
        <v>51167</v>
      </c>
      <c r="D257" s="32">
        <f t="shared" si="7"/>
        <v>1987852.17468622</v>
      </c>
      <c r="E257" s="32">
        <f t="shared" si="0"/>
        <v>18278.6654010401</v>
      </c>
      <c r="F257" s="32">
        <f t="shared" si="1"/>
        <v>5383.76630644184</v>
      </c>
      <c r="G257" s="32">
        <f t="shared" si="2"/>
        <v>12894.8990945982</v>
      </c>
      <c r="H257" s="32">
        <f t="shared" si="3"/>
        <v>1974957.27559162</v>
      </c>
      <c r="I257" s="32">
        <f t="shared" si="4"/>
        <v>0</v>
      </c>
      <c r="J257" s="32">
        <f t="shared" si="5"/>
        <v>18278.6654010401</v>
      </c>
      <c r="K257" s="18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Height="1" spans="1:26">
      <c r="A258" s="2"/>
      <c r="B258" s="28">
        <f t="shared" si="6"/>
        <v>233</v>
      </c>
      <c r="C258" s="17">
        <v>51196</v>
      </c>
      <c r="D258" s="32">
        <f t="shared" si="7"/>
        <v>1974957.27559162</v>
      </c>
      <c r="E258" s="32">
        <f t="shared" si="0"/>
        <v>18278.6654010401</v>
      </c>
      <c r="F258" s="32">
        <f t="shared" si="1"/>
        <v>5348.84262139397</v>
      </c>
      <c r="G258" s="32">
        <f t="shared" si="2"/>
        <v>12929.8227796461</v>
      </c>
      <c r="H258" s="32">
        <f t="shared" si="3"/>
        <v>1962027.45281198</v>
      </c>
      <c r="I258" s="32">
        <f t="shared" si="4"/>
        <v>0</v>
      </c>
      <c r="J258" s="32">
        <f t="shared" si="5"/>
        <v>18278.6654010401</v>
      </c>
      <c r="K258" s="18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Height="1" spans="1:26">
      <c r="A259" s="2"/>
      <c r="B259" s="28">
        <f t="shared" si="6"/>
        <v>234</v>
      </c>
      <c r="C259" s="17">
        <v>51227</v>
      </c>
      <c r="D259" s="32">
        <f t="shared" si="7"/>
        <v>1962027.45281198</v>
      </c>
      <c r="E259" s="32">
        <f t="shared" si="0"/>
        <v>18278.6654010401</v>
      </c>
      <c r="F259" s="32">
        <f t="shared" si="1"/>
        <v>5313.82435136577</v>
      </c>
      <c r="G259" s="32">
        <f t="shared" si="2"/>
        <v>12964.8410496743</v>
      </c>
      <c r="H259" s="32">
        <f t="shared" si="3"/>
        <v>1949062.6117623</v>
      </c>
      <c r="I259" s="32">
        <f t="shared" si="4"/>
        <v>0</v>
      </c>
      <c r="J259" s="32">
        <f t="shared" si="5"/>
        <v>18278.6654010401</v>
      </c>
      <c r="K259" s="18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Height="1" spans="1:26">
      <c r="A260" s="2"/>
      <c r="B260" s="28">
        <f t="shared" si="6"/>
        <v>235</v>
      </c>
      <c r="C260" s="17">
        <v>51257</v>
      </c>
      <c r="D260" s="32">
        <f t="shared" si="7"/>
        <v>1949062.6117623</v>
      </c>
      <c r="E260" s="32">
        <f t="shared" si="0"/>
        <v>18278.6654010401</v>
      </c>
      <c r="F260" s="32">
        <f t="shared" si="1"/>
        <v>5278.71124018957</v>
      </c>
      <c r="G260" s="32">
        <f t="shared" si="2"/>
        <v>12999.9541608505</v>
      </c>
      <c r="H260" s="32">
        <f t="shared" si="3"/>
        <v>1936062.65760145</v>
      </c>
      <c r="I260" s="32">
        <f t="shared" si="4"/>
        <v>0</v>
      </c>
      <c r="J260" s="32">
        <f t="shared" si="5"/>
        <v>18278.6654010401</v>
      </c>
      <c r="K260" s="18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Height="1" spans="1:26">
      <c r="A261" s="2"/>
      <c r="B261" s="28">
        <f t="shared" si="6"/>
        <v>236</v>
      </c>
      <c r="C261" s="17">
        <v>51288</v>
      </c>
      <c r="D261" s="32">
        <f t="shared" si="7"/>
        <v>1936062.65760145</v>
      </c>
      <c r="E261" s="32">
        <f t="shared" si="0"/>
        <v>18278.6654010401</v>
      </c>
      <c r="F261" s="32">
        <f t="shared" si="1"/>
        <v>5243.50303100393</v>
      </c>
      <c r="G261" s="32">
        <f t="shared" si="2"/>
        <v>13035.1623700361</v>
      </c>
      <c r="H261" s="32">
        <f t="shared" si="3"/>
        <v>1923027.49523141</v>
      </c>
      <c r="I261" s="32">
        <f t="shared" si="4"/>
        <v>0</v>
      </c>
      <c r="J261" s="32">
        <f t="shared" si="5"/>
        <v>18278.6654010401</v>
      </c>
      <c r="K261" s="18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Height="1" spans="1:26">
      <c r="A262" s="2"/>
      <c r="B262" s="28">
        <f t="shared" si="6"/>
        <v>237</v>
      </c>
      <c r="C262" s="17">
        <v>51318</v>
      </c>
      <c r="D262" s="32">
        <f t="shared" si="7"/>
        <v>1923027.49523141</v>
      </c>
      <c r="E262" s="32">
        <f t="shared" si="0"/>
        <v>18278.6654010401</v>
      </c>
      <c r="F262" s="32">
        <f t="shared" si="1"/>
        <v>5208.19946625175</v>
      </c>
      <c r="G262" s="32">
        <f t="shared" si="2"/>
        <v>13070.4659347883</v>
      </c>
      <c r="H262" s="32">
        <f t="shared" si="3"/>
        <v>1909957.02929663</v>
      </c>
      <c r="I262" s="32">
        <f t="shared" si="4"/>
        <v>0</v>
      </c>
      <c r="J262" s="32">
        <f t="shared" si="5"/>
        <v>18278.6654010401</v>
      </c>
      <c r="K262" s="18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Height="1" spans="1:26">
      <c r="A263" s="2"/>
      <c r="B263" s="28">
        <f t="shared" si="6"/>
        <v>238</v>
      </c>
      <c r="C263" s="17">
        <v>51349</v>
      </c>
      <c r="D263" s="32">
        <f t="shared" si="7"/>
        <v>1909957.02929663</v>
      </c>
      <c r="E263" s="32">
        <f t="shared" si="0"/>
        <v>18278.6654010401</v>
      </c>
      <c r="F263" s="32">
        <f t="shared" si="1"/>
        <v>5172.80028767836</v>
      </c>
      <c r="G263" s="32">
        <f t="shared" si="2"/>
        <v>13105.8651133617</v>
      </c>
      <c r="H263" s="32">
        <f t="shared" si="3"/>
        <v>1896851.16418326</v>
      </c>
      <c r="I263" s="32">
        <f t="shared" si="4"/>
        <v>0</v>
      </c>
      <c r="J263" s="32">
        <f t="shared" si="5"/>
        <v>18278.6654010401</v>
      </c>
      <c r="K263" s="18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Height="1" spans="1:26">
      <c r="A264" s="2"/>
      <c r="B264" s="28">
        <f t="shared" si="6"/>
        <v>239</v>
      </c>
      <c r="C264" s="17">
        <v>51380</v>
      </c>
      <c r="D264" s="32">
        <f t="shared" si="7"/>
        <v>1896851.16418326</v>
      </c>
      <c r="E264" s="32">
        <f t="shared" si="0"/>
        <v>18278.6654010401</v>
      </c>
      <c r="F264" s="32">
        <f t="shared" si="1"/>
        <v>5137.30523632967</v>
      </c>
      <c r="G264" s="32">
        <f t="shared" si="2"/>
        <v>13141.3601647104</v>
      </c>
      <c r="H264" s="32">
        <f t="shared" si="3"/>
        <v>1883709.80401855</v>
      </c>
      <c r="I264" s="32">
        <f t="shared" si="4"/>
        <v>0</v>
      </c>
      <c r="J264" s="32">
        <f t="shared" si="5"/>
        <v>18278.6654010401</v>
      </c>
      <c r="K264" s="18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Height="1" spans="1:26">
      <c r="A265" s="2"/>
      <c r="B265" s="28">
        <f t="shared" si="6"/>
        <v>240</v>
      </c>
      <c r="C265" s="17">
        <v>51410</v>
      </c>
      <c r="D265" s="32">
        <f t="shared" si="7"/>
        <v>1883709.80401855</v>
      </c>
      <c r="E265" s="32">
        <f t="shared" si="0"/>
        <v>18278.6654010401</v>
      </c>
      <c r="F265" s="32">
        <f t="shared" si="1"/>
        <v>5101.71405255025</v>
      </c>
      <c r="G265" s="32">
        <f t="shared" si="2"/>
        <v>13176.9513484898</v>
      </c>
      <c r="H265" s="32">
        <f t="shared" si="3"/>
        <v>1870532.85267006</v>
      </c>
      <c r="I265" s="32">
        <f t="shared" si="4"/>
        <v>0</v>
      </c>
      <c r="J265" s="32">
        <f t="shared" si="5"/>
        <v>18278.6654010401</v>
      </c>
      <c r="K265" s="18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Height="1" spans="1:26">
      <c r="A266" s="2"/>
      <c r="B266" s="28">
        <f t="shared" si="6"/>
        <v>241</v>
      </c>
      <c r="C266" s="17">
        <v>51441</v>
      </c>
      <c r="D266" s="32">
        <f t="shared" si="7"/>
        <v>1870532.85267006</v>
      </c>
      <c r="E266" s="32">
        <f t="shared" si="0"/>
        <v>18278.6654010401</v>
      </c>
      <c r="F266" s="32">
        <f t="shared" si="1"/>
        <v>5066.02647598142</v>
      </c>
      <c r="G266" s="32">
        <f t="shared" si="2"/>
        <v>13212.6389250586</v>
      </c>
      <c r="H266" s="32">
        <f t="shared" si="3"/>
        <v>1857320.21374501</v>
      </c>
      <c r="I266" s="32">
        <f t="shared" si="4"/>
        <v>0</v>
      </c>
      <c r="J266" s="32">
        <f t="shared" si="5"/>
        <v>18278.6654010401</v>
      </c>
      <c r="K266" s="32">
        <f>SUM(I266:I277)</f>
        <v>0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Height="1" spans="1:26">
      <c r="A267" s="2"/>
      <c r="B267" s="28">
        <f t="shared" si="6"/>
        <v>242</v>
      </c>
      <c r="C267" s="17">
        <v>51471</v>
      </c>
      <c r="D267" s="32">
        <f t="shared" si="7"/>
        <v>1857320.21374501</v>
      </c>
      <c r="E267" s="32">
        <f t="shared" si="0"/>
        <v>18278.6654010401</v>
      </c>
      <c r="F267" s="32">
        <f t="shared" si="1"/>
        <v>5030.24224555939</v>
      </c>
      <c r="G267" s="32">
        <f t="shared" si="2"/>
        <v>13248.4231554807</v>
      </c>
      <c r="H267" s="32">
        <f t="shared" si="3"/>
        <v>1844071.79058952</v>
      </c>
      <c r="I267" s="32">
        <f t="shared" si="4"/>
        <v>0</v>
      </c>
      <c r="J267" s="32">
        <f t="shared" si="5"/>
        <v>18278.6654010401</v>
      </c>
      <c r="K267" s="18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Height="1" spans="1:26">
      <c r="A268" s="2"/>
      <c r="B268" s="28">
        <f t="shared" si="6"/>
        <v>243</v>
      </c>
      <c r="C268" s="17">
        <v>51502</v>
      </c>
      <c r="D268" s="32">
        <f t="shared" si="7"/>
        <v>1844071.79058952</v>
      </c>
      <c r="E268" s="32">
        <f t="shared" si="0"/>
        <v>18278.6654010401</v>
      </c>
      <c r="F268" s="32">
        <f t="shared" si="1"/>
        <v>4994.3610995133</v>
      </c>
      <c r="G268" s="32">
        <f t="shared" si="2"/>
        <v>13284.3043015268</v>
      </c>
      <c r="H268" s="32">
        <f t="shared" si="3"/>
        <v>1830787.486288</v>
      </c>
      <c r="I268" s="32">
        <f t="shared" si="4"/>
        <v>0</v>
      </c>
      <c r="J268" s="32">
        <f t="shared" si="5"/>
        <v>18278.6654010401</v>
      </c>
      <c r="K268" s="18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Height="1" spans="1:26">
      <c r="A269" s="2"/>
      <c r="B269" s="28">
        <f t="shared" si="6"/>
        <v>244</v>
      </c>
      <c r="C269" s="17">
        <v>51533</v>
      </c>
      <c r="D269" s="32">
        <f t="shared" si="7"/>
        <v>1830787.486288</v>
      </c>
      <c r="E269" s="32">
        <f t="shared" si="0"/>
        <v>18278.6654010401</v>
      </c>
      <c r="F269" s="32">
        <f t="shared" si="1"/>
        <v>4958.38277536333</v>
      </c>
      <c r="G269" s="32">
        <f t="shared" si="2"/>
        <v>13320.2826256767</v>
      </c>
      <c r="H269" s="32">
        <f t="shared" si="3"/>
        <v>1817467.20366232</v>
      </c>
      <c r="I269" s="32">
        <f t="shared" si="4"/>
        <v>0</v>
      </c>
      <c r="J269" s="32">
        <f t="shared" si="5"/>
        <v>18278.6654010401</v>
      </c>
      <c r="K269" s="18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Height="1" spans="1:26">
      <c r="A270" s="2"/>
      <c r="B270" s="28">
        <f t="shared" si="6"/>
        <v>245</v>
      </c>
      <c r="C270" s="17">
        <v>51561</v>
      </c>
      <c r="D270" s="32">
        <f t="shared" si="7"/>
        <v>1817467.20366232</v>
      </c>
      <c r="E270" s="32">
        <f t="shared" si="0"/>
        <v>18278.6654010401</v>
      </c>
      <c r="F270" s="32">
        <f t="shared" si="1"/>
        <v>4922.30700991879</v>
      </c>
      <c r="G270" s="32">
        <f t="shared" si="2"/>
        <v>13356.3583911213</v>
      </c>
      <c r="H270" s="32">
        <f t="shared" si="3"/>
        <v>1804110.8452712</v>
      </c>
      <c r="I270" s="32">
        <f t="shared" si="4"/>
        <v>0</v>
      </c>
      <c r="J270" s="32">
        <f t="shared" si="5"/>
        <v>18278.6654010401</v>
      </c>
      <c r="K270" s="18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Height="1" spans="1:26">
      <c r="A271" s="2"/>
      <c r="B271" s="28">
        <f t="shared" si="6"/>
        <v>246</v>
      </c>
      <c r="C271" s="17">
        <v>51592</v>
      </c>
      <c r="D271" s="32">
        <f t="shared" si="7"/>
        <v>1804110.8452712</v>
      </c>
      <c r="E271" s="32">
        <f t="shared" si="0"/>
        <v>18278.6654010401</v>
      </c>
      <c r="F271" s="32">
        <f t="shared" si="1"/>
        <v>4886.13353927617</v>
      </c>
      <c r="G271" s="32">
        <f t="shared" si="2"/>
        <v>13392.5318617639</v>
      </c>
      <c r="H271" s="32">
        <f t="shared" si="3"/>
        <v>1790718.31340944</v>
      </c>
      <c r="I271" s="32">
        <f t="shared" si="4"/>
        <v>0</v>
      </c>
      <c r="J271" s="32">
        <f t="shared" si="5"/>
        <v>18278.6654010401</v>
      </c>
      <c r="K271" s="18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Height="1" spans="1:26">
      <c r="A272" s="2"/>
      <c r="B272" s="28">
        <f t="shared" si="6"/>
        <v>247</v>
      </c>
      <c r="C272" s="17">
        <v>51622</v>
      </c>
      <c r="D272" s="32">
        <f t="shared" si="7"/>
        <v>1790718.31340944</v>
      </c>
      <c r="E272" s="32">
        <f t="shared" si="0"/>
        <v>18278.6654010401</v>
      </c>
      <c r="F272" s="32">
        <f t="shared" si="1"/>
        <v>4849.86209881722</v>
      </c>
      <c r="G272" s="32">
        <f t="shared" si="2"/>
        <v>13428.8033022228</v>
      </c>
      <c r="H272" s="32">
        <f t="shared" si="3"/>
        <v>1777289.51010721</v>
      </c>
      <c r="I272" s="32">
        <f t="shared" si="4"/>
        <v>0</v>
      </c>
      <c r="J272" s="32">
        <f t="shared" si="5"/>
        <v>18278.6654010401</v>
      </c>
      <c r="K272" s="18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Height="1" spans="1:26">
      <c r="A273" s="2"/>
      <c r="B273" s="28">
        <f t="shared" si="6"/>
        <v>248</v>
      </c>
      <c r="C273" s="17">
        <v>51653</v>
      </c>
      <c r="D273" s="32">
        <f t="shared" si="7"/>
        <v>1777289.51010721</v>
      </c>
      <c r="E273" s="32">
        <f t="shared" si="0"/>
        <v>18278.6654010401</v>
      </c>
      <c r="F273" s="32">
        <f t="shared" si="1"/>
        <v>4813.49242320704</v>
      </c>
      <c r="G273" s="32">
        <f t="shared" si="2"/>
        <v>13465.172977833</v>
      </c>
      <c r="H273" s="32">
        <f t="shared" si="3"/>
        <v>1763824.33712938</v>
      </c>
      <c r="I273" s="32">
        <f t="shared" si="4"/>
        <v>0</v>
      </c>
      <c r="J273" s="32">
        <f t="shared" si="5"/>
        <v>18278.6654010401</v>
      </c>
      <c r="K273" s="18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Height="1" spans="1:26">
      <c r="A274" s="2"/>
      <c r="B274" s="28">
        <f t="shared" si="6"/>
        <v>249</v>
      </c>
      <c r="C274" s="17">
        <v>51683</v>
      </c>
      <c r="D274" s="32">
        <f t="shared" si="7"/>
        <v>1763824.33712938</v>
      </c>
      <c r="E274" s="32">
        <f t="shared" si="0"/>
        <v>18278.6654010401</v>
      </c>
      <c r="F274" s="32">
        <f t="shared" si="1"/>
        <v>4777.02424639207</v>
      </c>
      <c r="G274" s="32">
        <f t="shared" si="2"/>
        <v>13501.641154648</v>
      </c>
      <c r="H274" s="32">
        <f t="shared" si="3"/>
        <v>1750322.69597473</v>
      </c>
      <c r="I274" s="32">
        <f t="shared" si="4"/>
        <v>0</v>
      </c>
      <c r="J274" s="32">
        <f t="shared" si="5"/>
        <v>18278.6654010401</v>
      </c>
      <c r="K274" s="18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Height="1" spans="1:26">
      <c r="A275" s="2"/>
      <c r="B275" s="28">
        <f t="shared" si="6"/>
        <v>250</v>
      </c>
      <c r="C275" s="17">
        <v>51714</v>
      </c>
      <c r="D275" s="32">
        <f t="shared" si="7"/>
        <v>1750322.69597473</v>
      </c>
      <c r="E275" s="32">
        <f t="shared" si="0"/>
        <v>18278.6654010401</v>
      </c>
      <c r="F275" s="32">
        <f t="shared" si="1"/>
        <v>4740.45730159823</v>
      </c>
      <c r="G275" s="32">
        <f t="shared" si="2"/>
        <v>13538.2080994418</v>
      </c>
      <c r="H275" s="32">
        <f t="shared" si="3"/>
        <v>1736784.48787529</v>
      </c>
      <c r="I275" s="32">
        <f t="shared" si="4"/>
        <v>0</v>
      </c>
      <c r="J275" s="32">
        <f t="shared" si="5"/>
        <v>18278.6654010401</v>
      </c>
      <c r="K275" s="18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Height="1" spans="1:26">
      <c r="A276" s="2"/>
      <c r="B276" s="28">
        <f t="shared" si="6"/>
        <v>251</v>
      </c>
      <c r="C276" s="17">
        <v>51745</v>
      </c>
      <c r="D276" s="32">
        <f t="shared" si="7"/>
        <v>1736784.48787529</v>
      </c>
      <c r="E276" s="32">
        <f t="shared" si="0"/>
        <v>18278.6654010401</v>
      </c>
      <c r="F276" s="32">
        <f t="shared" si="1"/>
        <v>4703.79132132891</v>
      </c>
      <c r="G276" s="32">
        <f t="shared" si="2"/>
        <v>13574.8740797112</v>
      </c>
      <c r="H276" s="32">
        <f t="shared" si="3"/>
        <v>1723209.61379558</v>
      </c>
      <c r="I276" s="32">
        <f t="shared" si="4"/>
        <v>0</v>
      </c>
      <c r="J276" s="32">
        <f t="shared" si="5"/>
        <v>18278.6654010401</v>
      </c>
      <c r="K276" s="18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Height="1" spans="1:26">
      <c r="A277" s="2"/>
      <c r="B277" s="28">
        <f t="shared" si="6"/>
        <v>252</v>
      </c>
      <c r="C277" s="17">
        <v>51775</v>
      </c>
      <c r="D277" s="32">
        <f t="shared" si="7"/>
        <v>1723209.61379558</v>
      </c>
      <c r="E277" s="32">
        <f t="shared" si="0"/>
        <v>18278.6654010401</v>
      </c>
      <c r="F277" s="32">
        <f t="shared" si="1"/>
        <v>4667.02603736303</v>
      </c>
      <c r="G277" s="32">
        <f t="shared" si="2"/>
        <v>13611.639363677</v>
      </c>
      <c r="H277" s="32">
        <f t="shared" si="3"/>
        <v>1709597.9744319</v>
      </c>
      <c r="I277" s="32">
        <f t="shared" si="4"/>
        <v>0</v>
      </c>
      <c r="J277" s="32">
        <f t="shared" si="5"/>
        <v>18278.6654010401</v>
      </c>
      <c r="K277" s="18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Height="1" spans="1:26">
      <c r="A278" s="2"/>
      <c r="B278" s="28">
        <f t="shared" si="6"/>
        <v>253</v>
      </c>
      <c r="C278" s="17">
        <v>51806</v>
      </c>
      <c r="D278" s="32">
        <f t="shared" si="7"/>
        <v>1709597.9744319</v>
      </c>
      <c r="E278" s="32">
        <f t="shared" si="0"/>
        <v>18278.6654010401</v>
      </c>
      <c r="F278" s="32">
        <f t="shared" si="1"/>
        <v>4630.16118075307</v>
      </c>
      <c r="G278" s="32">
        <f t="shared" si="2"/>
        <v>13648.504220287</v>
      </c>
      <c r="H278" s="32">
        <f t="shared" si="3"/>
        <v>1695949.47021161</v>
      </c>
      <c r="I278" s="32">
        <f t="shared" si="4"/>
        <v>0</v>
      </c>
      <c r="J278" s="32">
        <f t="shared" si="5"/>
        <v>18278.6654010401</v>
      </c>
      <c r="K278" s="32">
        <f>SUM(I278:I289)</f>
        <v>0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Height="1" spans="1:26">
      <c r="A279" s="2"/>
      <c r="B279" s="28">
        <f t="shared" si="6"/>
        <v>254</v>
      </c>
      <c r="C279" s="17">
        <v>51836</v>
      </c>
      <c r="D279" s="32">
        <f t="shared" si="7"/>
        <v>1695949.47021161</v>
      </c>
      <c r="E279" s="32">
        <f t="shared" si="0"/>
        <v>18278.6654010401</v>
      </c>
      <c r="F279" s="32">
        <f t="shared" si="1"/>
        <v>4593.19648182312</v>
      </c>
      <c r="G279" s="32">
        <f t="shared" si="2"/>
        <v>13685.4689192169</v>
      </c>
      <c r="H279" s="32">
        <f t="shared" si="3"/>
        <v>1682264.0012924</v>
      </c>
      <c r="I279" s="32">
        <f t="shared" si="4"/>
        <v>0</v>
      </c>
      <c r="J279" s="32">
        <f t="shared" si="5"/>
        <v>18278.6654010401</v>
      </c>
      <c r="K279" s="18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Height="1" spans="1:26">
      <c r="A280" s="2"/>
      <c r="B280" s="28">
        <f t="shared" si="6"/>
        <v>255</v>
      </c>
      <c r="C280" s="17">
        <v>51867</v>
      </c>
      <c r="D280" s="32">
        <f t="shared" si="7"/>
        <v>1682264.0012924</v>
      </c>
      <c r="E280" s="32">
        <f t="shared" si="0"/>
        <v>18278.6654010401</v>
      </c>
      <c r="F280" s="32">
        <f t="shared" si="1"/>
        <v>4556.13167016691</v>
      </c>
      <c r="G280" s="32">
        <f t="shared" si="2"/>
        <v>13722.5337308732</v>
      </c>
      <c r="H280" s="32">
        <f t="shared" si="3"/>
        <v>1668541.46756152</v>
      </c>
      <c r="I280" s="32">
        <f t="shared" si="4"/>
        <v>0</v>
      </c>
      <c r="J280" s="32">
        <f t="shared" si="5"/>
        <v>18278.6654010401</v>
      </c>
      <c r="K280" s="18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Height="1" spans="1:26">
      <c r="A281" s="2"/>
      <c r="B281" s="28">
        <f t="shared" si="6"/>
        <v>256</v>
      </c>
      <c r="C281" s="17">
        <v>51898</v>
      </c>
      <c r="D281" s="32">
        <f t="shared" si="7"/>
        <v>1668541.46756152</v>
      </c>
      <c r="E281" s="32">
        <f t="shared" si="0"/>
        <v>18278.6654010401</v>
      </c>
      <c r="F281" s="32">
        <f t="shared" si="1"/>
        <v>4518.9664746458</v>
      </c>
      <c r="G281" s="32">
        <f t="shared" si="2"/>
        <v>13759.6989263943</v>
      </c>
      <c r="H281" s="32">
        <f t="shared" si="3"/>
        <v>1654781.76863513</v>
      </c>
      <c r="I281" s="32">
        <f t="shared" si="4"/>
        <v>0</v>
      </c>
      <c r="J281" s="32">
        <f t="shared" si="5"/>
        <v>18278.6654010401</v>
      </c>
      <c r="K281" s="18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Height="1" spans="1:26">
      <c r="A282" s="2"/>
      <c r="B282" s="28">
        <f t="shared" si="6"/>
        <v>257</v>
      </c>
      <c r="C282" s="17">
        <v>51926</v>
      </c>
      <c r="D282" s="32">
        <f t="shared" si="7"/>
        <v>1654781.76863513</v>
      </c>
      <c r="E282" s="32">
        <f t="shared" si="0"/>
        <v>18278.6654010401</v>
      </c>
      <c r="F282" s="32">
        <f t="shared" si="1"/>
        <v>4481.70062338681</v>
      </c>
      <c r="G282" s="32">
        <f t="shared" si="2"/>
        <v>13796.9647776533</v>
      </c>
      <c r="H282" s="32">
        <f t="shared" si="3"/>
        <v>1640984.80385748</v>
      </c>
      <c r="I282" s="32">
        <f t="shared" si="4"/>
        <v>0</v>
      </c>
      <c r="J282" s="32">
        <f t="shared" si="5"/>
        <v>18278.6654010401</v>
      </c>
      <c r="K282" s="18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Height="1" spans="1:26">
      <c r="A283" s="2"/>
      <c r="B283" s="28">
        <f t="shared" si="6"/>
        <v>258</v>
      </c>
      <c r="C283" s="17">
        <v>51957</v>
      </c>
      <c r="D283" s="32">
        <f t="shared" si="7"/>
        <v>1640984.80385748</v>
      </c>
      <c r="E283" s="32">
        <f t="shared" si="0"/>
        <v>18278.6654010401</v>
      </c>
      <c r="F283" s="32">
        <f t="shared" si="1"/>
        <v>4444.33384378067</v>
      </c>
      <c r="G283" s="32">
        <f t="shared" si="2"/>
        <v>13834.3315572594</v>
      </c>
      <c r="H283" s="32">
        <f t="shared" si="3"/>
        <v>1627150.47230022</v>
      </c>
      <c r="I283" s="32">
        <f t="shared" si="4"/>
        <v>0</v>
      </c>
      <c r="J283" s="32">
        <f t="shared" si="5"/>
        <v>18278.6654010401</v>
      </c>
      <c r="K283" s="18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Height="1" spans="1:26">
      <c r="A284" s="2"/>
      <c r="B284" s="28">
        <f t="shared" si="6"/>
        <v>259</v>
      </c>
      <c r="C284" s="17">
        <v>51987</v>
      </c>
      <c r="D284" s="32">
        <f t="shared" si="7"/>
        <v>1627150.47230022</v>
      </c>
      <c r="E284" s="32">
        <f t="shared" si="0"/>
        <v>18278.6654010401</v>
      </c>
      <c r="F284" s="32">
        <f t="shared" si="1"/>
        <v>4406.86586247976</v>
      </c>
      <c r="G284" s="32">
        <f t="shared" si="2"/>
        <v>13871.7995385603</v>
      </c>
      <c r="H284" s="32">
        <f t="shared" si="3"/>
        <v>1613278.67276166</v>
      </c>
      <c r="I284" s="32">
        <f t="shared" si="4"/>
        <v>0</v>
      </c>
      <c r="J284" s="32">
        <f t="shared" si="5"/>
        <v>18278.6654010401</v>
      </c>
      <c r="K284" s="18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Height="1" spans="1:26">
      <c r="A285" s="2"/>
      <c r="B285" s="28">
        <f t="shared" si="6"/>
        <v>260</v>
      </c>
      <c r="C285" s="17">
        <v>52018</v>
      </c>
      <c r="D285" s="32">
        <f t="shared" si="7"/>
        <v>1613278.67276166</v>
      </c>
      <c r="E285" s="32">
        <f t="shared" si="0"/>
        <v>18278.6654010401</v>
      </c>
      <c r="F285" s="32">
        <f t="shared" si="1"/>
        <v>4369.29640539616</v>
      </c>
      <c r="G285" s="32">
        <f t="shared" si="2"/>
        <v>13909.3689956439</v>
      </c>
      <c r="H285" s="32">
        <f t="shared" si="3"/>
        <v>1599369.30376601</v>
      </c>
      <c r="I285" s="32">
        <f t="shared" si="4"/>
        <v>0</v>
      </c>
      <c r="J285" s="32">
        <f t="shared" si="5"/>
        <v>18278.6654010401</v>
      </c>
      <c r="K285" s="18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Height="1" spans="1:26">
      <c r="A286" s="2"/>
      <c r="B286" s="28">
        <f t="shared" si="6"/>
        <v>261</v>
      </c>
      <c r="C286" s="17">
        <v>52048</v>
      </c>
      <c r="D286" s="32">
        <f t="shared" si="7"/>
        <v>1599369.30376601</v>
      </c>
      <c r="E286" s="32">
        <f t="shared" si="0"/>
        <v>18278.6654010401</v>
      </c>
      <c r="F286" s="32">
        <f t="shared" si="1"/>
        <v>4331.62519769962</v>
      </c>
      <c r="G286" s="32">
        <f t="shared" si="2"/>
        <v>13947.0402033404</v>
      </c>
      <c r="H286" s="32">
        <f t="shared" si="3"/>
        <v>1585422.26356267</v>
      </c>
      <c r="I286" s="32">
        <f t="shared" si="4"/>
        <v>0</v>
      </c>
      <c r="J286" s="32">
        <f t="shared" si="5"/>
        <v>18278.6654010401</v>
      </c>
      <c r="K286" s="18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Height="1" spans="1:26">
      <c r="A287" s="2"/>
      <c r="B287" s="28">
        <f t="shared" si="6"/>
        <v>262</v>
      </c>
      <c r="C287" s="17">
        <v>52079</v>
      </c>
      <c r="D287" s="32">
        <f t="shared" si="7"/>
        <v>1585422.26356267</v>
      </c>
      <c r="E287" s="32">
        <f t="shared" si="0"/>
        <v>18278.6654010401</v>
      </c>
      <c r="F287" s="32">
        <f t="shared" si="1"/>
        <v>4293.85196381557</v>
      </c>
      <c r="G287" s="32">
        <f t="shared" si="2"/>
        <v>13984.8134372245</v>
      </c>
      <c r="H287" s="32">
        <f t="shared" si="3"/>
        <v>1571437.45012545</v>
      </c>
      <c r="I287" s="32">
        <f t="shared" si="4"/>
        <v>0</v>
      </c>
      <c r="J287" s="32">
        <f t="shared" si="5"/>
        <v>18278.6654010401</v>
      </c>
      <c r="K287" s="18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Height="1" spans="1:26">
      <c r="A288" s="2"/>
      <c r="B288" s="28">
        <f t="shared" si="6"/>
        <v>263</v>
      </c>
      <c r="C288" s="17">
        <v>52110</v>
      </c>
      <c r="D288" s="32">
        <f t="shared" si="7"/>
        <v>1571437.45012545</v>
      </c>
      <c r="E288" s="32">
        <f t="shared" si="0"/>
        <v>18278.6654010401</v>
      </c>
      <c r="F288" s="32">
        <f t="shared" si="1"/>
        <v>4255.97642742309</v>
      </c>
      <c r="G288" s="32">
        <f t="shared" si="2"/>
        <v>14022.688973617</v>
      </c>
      <c r="H288" s="32">
        <f t="shared" si="3"/>
        <v>1557414.76115183</v>
      </c>
      <c r="I288" s="32">
        <f t="shared" si="4"/>
        <v>0</v>
      </c>
      <c r="J288" s="32">
        <f t="shared" si="5"/>
        <v>18278.6654010401</v>
      </c>
      <c r="K288" s="18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Height="1" spans="1:26">
      <c r="A289" s="2"/>
      <c r="B289" s="28">
        <f t="shared" si="6"/>
        <v>264</v>
      </c>
      <c r="C289" s="17">
        <v>52140</v>
      </c>
      <c r="D289" s="32">
        <f t="shared" si="7"/>
        <v>1557414.76115183</v>
      </c>
      <c r="E289" s="32">
        <f t="shared" si="0"/>
        <v>18278.6654010401</v>
      </c>
      <c r="F289" s="32">
        <f t="shared" si="1"/>
        <v>4217.99831145288</v>
      </c>
      <c r="G289" s="32">
        <f t="shared" si="2"/>
        <v>14060.6670895872</v>
      </c>
      <c r="H289" s="32">
        <f t="shared" si="3"/>
        <v>1543354.09406224</v>
      </c>
      <c r="I289" s="32">
        <f t="shared" si="4"/>
        <v>0</v>
      </c>
      <c r="J289" s="32">
        <f t="shared" si="5"/>
        <v>18278.6654010401</v>
      </c>
      <c r="K289" s="18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Height="1" spans="1:26">
      <c r="A290" s="2"/>
      <c r="B290" s="28">
        <f t="shared" si="6"/>
        <v>265</v>
      </c>
      <c r="C290" s="17">
        <v>52171</v>
      </c>
      <c r="D290" s="32">
        <f t="shared" si="7"/>
        <v>1543354.09406224</v>
      </c>
      <c r="E290" s="32">
        <f t="shared" si="0"/>
        <v>18278.6654010401</v>
      </c>
      <c r="F290" s="32">
        <f t="shared" si="1"/>
        <v>4179.91733808525</v>
      </c>
      <c r="G290" s="32">
        <f t="shared" si="2"/>
        <v>14098.7480629548</v>
      </c>
      <c r="H290" s="32">
        <f t="shared" si="3"/>
        <v>1529255.34599929</v>
      </c>
      <c r="I290" s="32">
        <f t="shared" si="4"/>
        <v>0</v>
      </c>
      <c r="J290" s="32">
        <f t="shared" si="5"/>
        <v>18278.6654010401</v>
      </c>
      <c r="K290" s="32">
        <f>SUM(I290:I301)</f>
        <v>0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Height="1" spans="1:26">
      <c r="A291" s="2"/>
      <c r="B291" s="28">
        <f t="shared" si="6"/>
        <v>266</v>
      </c>
      <c r="C291" s="17">
        <v>52201</v>
      </c>
      <c r="D291" s="32">
        <f t="shared" si="7"/>
        <v>1529255.34599929</v>
      </c>
      <c r="E291" s="32">
        <f t="shared" si="0"/>
        <v>18278.6654010401</v>
      </c>
      <c r="F291" s="32">
        <f t="shared" si="1"/>
        <v>4141.73322874808</v>
      </c>
      <c r="G291" s="32">
        <f t="shared" si="2"/>
        <v>14136.932172292</v>
      </c>
      <c r="H291" s="32">
        <f t="shared" si="3"/>
        <v>1515118.413827</v>
      </c>
      <c r="I291" s="32">
        <f t="shared" si="4"/>
        <v>0</v>
      </c>
      <c r="J291" s="32">
        <f t="shared" si="5"/>
        <v>18278.6654010401</v>
      </c>
      <c r="K291" s="18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Height="1" spans="1:26">
      <c r="A292" s="2"/>
      <c r="B292" s="28">
        <f t="shared" si="6"/>
        <v>267</v>
      </c>
      <c r="C292" s="17">
        <v>52232</v>
      </c>
      <c r="D292" s="32">
        <f t="shared" si="7"/>
        <v>1515118.413827</v>
      </c>
      <c r="E292" s="32">
        <f t="shared" si="0"/>
        <v>18278.6654010401</v>
      </c>
      <c r="F292" s="32">
        <f t="shared" si="1"/>
        <v>4103.44570411479</v>
      </c>
      <c r="G292" s="32">
        <f t="shared" si="2"/>
        <v>14175.2196969253</v>
      </c>
      <c r="H292" s="32">
        <f t="shared" si="3"/>
        <v>1500943.19413007</v>
      </c>
      <c r="I292" s="32">
        <f t="shared" si="4"/>
        <v>0</v>
      </c>
      <c r="J292" s="32">
        <f t="shared" si="5"/>
        <v>18278.6654010401</v>
      </c>
      <c r="K292" s="18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Height="1" spans="1:26">
      <c r="A293" s="2"/>
      <c r="B293" s="28">
        <f t="shared" si="6"/>
        <v>268</v>
      </c>
      <c r="C293" s="17">
        <v>52263</v>
      </c>
      <c r="D293" s="32">
        <f t="shared" si="7"/>
        <v>1500943.19413007</v>
      </c>
      <c r="E293" s="32">
        <f t="shared" si="0"/>
        <v>18278.6654010401</v>
      </c>
      <c r="F293" s="32">
        <f t="shared" si="1"/>
        <v>4065.05448410228</v>
      </c>
      <c r="G293" s="32">
        <f t="shared" si="2"/>
        <v>14213.6109169378</v>
      </c>
      <c r="H293" s="32">
        <f t="shared" si="3"/>
        <v>1486729.58321313</v>
      </c>
      <c r="I293" s="32">
        <f t="shared" si="4"/>
        <v>0</v>
      </c>
      <c r="J293" s="32">
        <f t="shared" si="5"/>
        <v>18278.6654010401</v>
      </c>
      <c r="K293" s="18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Height="1" spans="1:26">
      <c r="A294" s="2"/>
      <c r="B294" s="28">
        <f t="shared" si="6"/>
        <v>269</v>
      </c>
      <c r="C294" s="17">
        <v>52291</v>
      </c>
      <c r="D294" s="32">
        <f t="shared" si="7"/>
        <v>1486729.58321313</v>
      </c>
      <c r="E294" s="32">
        <f t="shared" si="0"/>
        <v>18278.6654010401</v>
      </c>
      <c r="F294" s="32">
        <f t="shared" si="1"/>
        <v>4026.55928786891</v>
      </c>
      <c r="G294" s="32">
        <f t="shared" si="2"/>
        <v>14252.1061131712</v>
      </c>
      <c r="H294" s="32">
        <f t="shared" si="3"/>
        <v>1472477.47709996</v>
      </c>
      <c r="I294" s="32">
        <f t="shared" si="4"/>
        <v>0</v>
      </c>
      <c r="J294" s="32">
        <f t="shared" si="5"/>
        <v>18278.6654010401</v>
      </c>
      <c r="K294" s="18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Height="1" spans="1:26">
      <c r="A295" s="2"/>
      <c r="B295" s="28">
        <f t="shared" si="6"/>
        <v>270</v>
      </c>
      <c r="C295" s="17">
        <v>52322</v>
      </c>
      <c r="D295" s="32">
        <f t="shared" si="7"/>
        <v>1472477.47709996</v>
      </c>
      <c r="E295" s="32">
        <f t="shared" si="0"/>
        <v>18278.6654010401</v>
      </c>
      <c r="F295" s="32">
        <f t="shared" si="1"/>
        <v>3987.9598338124</v>
      </c>
      <c r="G295" s="32">
        <f t="shared" si="2"/>
        <v>14290.7055672277</v>
      </c>
      <c r="H295" s="32">
        <f t="shared" si="3"/>
        <v>1458186.77153274</v>
      </c>
      <c r="I295" s="32">
        <f t="shared" si="4"/>
        <v>0</v>
      </c>
      <c r="J295" s="32">
        <f t="shared" si="5"/>
        <v>18278.6654010401</v>
      </c>
      <c r="K295" s="18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Height="1" spans="1:26">
      <c r="A296" s="2"/>
      <c r="B296" s="28">
        <f t="shared" si="6"/>
        <v>271</v>
      </c>
      <c r="C296" s="17">
        <v>52352</v>
      </c>
      <c r="D296" s="32">
        <f t="shared" si="7"/>
        <v>1458186.77153274</v>
      </c>
      <c r="E296" s="32">
        <f t="shared" si="0"/>
        <v>18278.6654010401</v>
      </c>
      <c r="F296" s="32">
        <f t="shared" si="1"/>
        <v>3949.25583956783</v>
      </c>
      <c r="G296" s="32">
        <f t="shared" si="2"/>
        <v>14329.4095614722</v>
      </c>
      <c r="H296" s="32">
        <f t="shared" si="3"/>
        <v>1443857.36197126</v>
      </c>
      <c r="I296" s="32">
        <f t="shared" si="4"/>
        <v>0</v>
      </c>
      <c r="J296" s="32">
        <f t="shared" si="5"/>
        <v>18278.6654010401</v>
      </c>
      <c r="K296" s="18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Height="1" spans="1:26">
      <c r="A297" s="2"/>
      <c r="B297" s="28">
        <f t="shared" si="6"/>
        <v>272</v>
      </c>
      <c r="C297" s="17">
        <v>52383</v>
      </c>
      <c r="D297" s="32">
        <f t="shared" si="7"/>
        <v>1443857.36197126</v>
      </c>
      <c r="E297" s="32">
        <f t="shared" si="0"/>
        <v>18278.6654010401</v>
      </c>
      <c r="F297" s="32">
        <f t="shared" si="1"/>
        <v>3910.44702200551</v>
      </c>
      <c r="G297" s="32">
        <f t="shared" si="2"/>
        <v>14368.2183790346</v>
      </c>
      <c r="H297" s="32">
        <f t="shared" si="3"/>
        <v>1429489.14359223</v>
      </c>
      <c r="I297" s="32">
        <f t="shared" si="4"/>
        <v>0</v>
      </c>
      <c r="J297" s="32">
        <f t="shared" si="5"/>
        <v>18278.6654010401</v>
      </c>
      <c r="K297" s="18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Height="1" spans="1:26">
      <c r="A298" s="2"/>
      <c r="B298" s="28">
        <f t="shared" si="6"/>
        <v>273</v>
      </c>
      <c r="C298" s="17">
        <v>52413</v>
      </c>
      <c r="D298" s="32">
        <f t="shared" si="7"/>
        <v>1429489.14359223</v>
      </c>
      <c r="E298" s="32">
        <f t="shared" si="0"/>
        <v>18278.6654010401</v>
      </c>
      <c r="F298" s="32">
        <f t="shared" si="1"/>
        <v>3871.53309722895</v>
      </c>
      <c r="G298" s="32">
        <f t="shared" si="2"/>
        <v>14407.1323038111</v>
      </c>
      <c r="H298" s="32">
        <f t="shared" si="3"/>
        <v>1415082.01128842</v>
      </c>
      <c r="I298" s="32">
        <f t="shared" si="4"/>
        <v>0</v>
      </c>
      <c r="J298" s="32">
        <f t="shared" si="5"/>
        <v>18278.6654010401</v>
      </c>
      <c r="K298" s="18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Height="1" spans="1:26">
      <c r="A299" s="2"/>
      <c r="B299" s="28">
        <f t="shared" si="6"/>
        <v>274</v>
      </c>
      <c r="C299" s="17">
        <v>52444</v>
      </c>
      <c r="D299" s="32">
        <f t="shared" si="7"/>
        <v>1415082.01128842</v>
      </c>
      <c r="E299" s="32">
        <f t="shared" si="0"/>
        <v>18278.6654010401</v>
      </c>
      <c r="F299" s="32">
        <f t="shared" si="1"/>
        <v>3832.5137805728</v>
      </c>
      <c r="G299" s="32">
        <f t="shared" si="2"/>
        <v>14446.1516204673</v>
      </c>
      <c r="H299" s="32">
        <f t="shared" si="3"/>
        <v>1400635.85966795</v>
      </c>
      <c r="I299" s="32">
        <f t="shared" si="4"/>
        <v>0</v>
      </c>
      <c r="J299" s="32">
        <f t="shared" si="5"/>
        <v>18278.6654010401</v>
      </c>
      <c r="K299" s="18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Height="1" spans="1:26">
      <c r="A300" s="2"/>
      <c r="B300" s="28">
        <f t="shared" si="6"/>
        <v>275</v>
      </c>
      <c r="C300" s="17">
        <v>52475</v>
      </c>
      <c r="D300" s="32">
        <f t="shared" si="7"/>
        <v>1400635.85966795</v>
      </c>
      <c r="E300" s="32">
        <f t="shared" si="0"/>
        <v>18278.6654010401</v>
      </c>
      <c r="F300" s="32">
        <f t="shared" si="1"/>
        <v>3793.3887866007</v>
      </c>
      <c r="G300" s="32">
        <f t="shared" si="2"/>
        <v>14485.2766144394</v>
      </c>
      <c r="H300" s="32">
        <f t="shared" si="3"/>
        <v>1386150.58305351</v>
      </c>
      <c r="I300" s="32">
        <f t="shared" si="4"/>
        <v>0</v>
      </c>
      <c r="J300" s="32">
        <f t="shared" si="5"/>
        <v>18278.6654010401</v>
      </c>
      <c r="K300" s="18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Height="1" spans="1:26">
      <c r="A301" s="2"/>
      <c r="B301" s="28">
        <f t="shared" si="6"/>
        <v>276</v>
      </c>
      <c r="C301" s="17">
        <v>52505</v>
      </c>
      <c r="D301" s="32">
        <f t="shared" si="7"/>
        <v>1386150.58305351</v>
      </c>
      <c r="E301" s="32">
        <f t="shared" si="0"/>
        <v>18278.6654010401</v>
      </c>
      <c r="F301" s="32">
        <f t="shared" si="1"/>
        <v>3754.15782910326</v>
      </c>
      <c r="G301" s="32">
        <f t="shared" si="2"/>
        <v>14524.5075719368</v>
      </c>
      <c r="H301" s="32">
        <f t="shared" si="3"/>
        <v>1371626.07548157</v>
      </c>
      <c r="I301" s="32">
        <f t="shared" si="4"/>
        <v>0</v>
      </c>
      <c r="J301" s="32">
        <f t="shared" si="5"/>
        <v>18278.6654010401</v>
      </c>
      <c r="K301" s="18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Height="1" spans="1:26">
      <c r="A302" s="2"/>
      <c r="B302" s="28">
        <f t="shared" si="6"/>
        <v>277</v>
      </c>
      <c r="C302" s="17">
        <v>52536</v>
      </c>
      <c r="D302" s="32">
        <f t="shared" si="7"/>
        <v>1371626.07548157</v>
      </c>
      <c r="E302" s="32">
        <f t="shared" si="0"/>
        <v>18278.6654010401</v>
      </c>
      <c r="F302" s="32">
        <f t="shared" si="1"/>
        <v>3714.82062109593</v>
      </c>
      <c r="G302" s="32">
        <f t="shared" si="2"/>
        <v>14563.8447799441</v>
      </c>
      <c r="H302" s="32">
        <f t="shared" si="3"/>
        <v>1357062.23070163</v>
      </c>
      <c r="I302" s="32">
        <f t="shared" si="4"/>
        <v>0</v>
      </c>
      <c r="J302" s="32">
        <f t="shared" si="5"/>
        <v>18278.6654010401</v>
      </c>
      <c r="K302" s="32">
        <f>SUM(I302:I313)</f>
        <v>0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Height="1" spans="1:26">
      <c r="A303" s="2"/>
      <c r="B303" s="28">
        <f t="shared" si="6"/>
        <v>278</v>
      </c>
      <c r="C303" s="17">
        <v>52566</v>
      </c>
      <c r="D303" s="32">
        <f t="shared" si="7"/>
        <v>1357062.23070163</v>
      </c>
      <c r="E303" s="32">
        <f t="shared" si="0"/>
        <v>18278.6654010401</v>
      </c>
      <c r="F303" s="32">
        <f t="shared" si="1"/>
        <v>3675.37687481692</v>
      </c>
      <c r="G303" s="32">
        <f t="shared" si="2"/>
        <v>14603.2885262232</v>
      </c>
      <c r="H303" s="32">
        <f t="shared" si="3"/>
        <v>1342458.94217541</v>
      </c>
      <c r="I303" s="32">
        <f t="shared" si="4"/>
        <v>0</v>
      </c>
      <c r="J303" s="32">
        <f t="shared" si="5"/>
        <v>18278.6654010401</v>
      </c>
      <c r="K303" s="18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Height="1" spans="1:26">
      <c r="A304" s="2"/>
      <c r="B304" s="28">
        <f t="shared" si="6"/>
        <v>279</v>
      </c>
      <c r="C304" s="17">
        <v>52597</v>
      </c>
      <c r="D304" s="32">
        <f t="shared" si="7"/>
        <v>1342458.94217541</v>
      </c>
      <c r="E304" s="32">
        <f t="shared" si="0"/>
        <v>18278.6654010401</v>
      </c>
      <c r="F304" s="32">
        <f t="shared" si="1"/>
        <v>3635.82630172506</v>
      </c>
      <c r="G304" s="32">
        <f t="shared" si="2"/>
        <v>14642.839099315</v>
      </c>
      <c r="H304" s="32">
        <f t="shared" si="3"/>
        <v>1327816.10307609</v>
      </c>
      <c r="I304" s="32">
        <f t="shared" si="4"/>
        <v>0</v>
      </c>
      <c r="J304" s="32">
        <f t="shared" si="5"/>
        <v>18278.6654010401</v>
      </c>
      <c r="K304" s="18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Height="1" spans="1:26">
      <c r="A305" s="2"/>
      <c r="B305" s="28">
        <f t="shared" si="6"/>
        <v>280</v>
      </c>
      <c r="C305" s="17">
        <v>52628</v>
      </c>
      <c r="D305" s="32">
        <f t="shared" si="7"/>
        <v>1327816.10307609</v>
      </c>
      <c r="E305" s="32">
        <f t="shared" si="0"/>
        <v>18278.6654010401</v>
      </c>
      <c r="F305" s="32">
        <f t="shared" si="1"/>
        <v>3596.16861249775</v>
      </c>
      <c r="G305" s="32">
        <f t="shared" si="2"/>
        <v>14682.4967885423</v>
      </c>
      <c r="H305" s="32">
        <f t="shared" si="3"/>
        <v>1313133.60628755</v>
      </c>
      <c r="I305" s="32">
        <f t="shared" si="4"/>
        <v>0</v>
      </c>
      <c r="J305" s="32">
        <f t="shared" si="5"/>
        <v>18278.6654010401</v>
      </c>
      <c r="K305" s="18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Height="1" spans="1:26">
      <c r="A306" s="2"/>
      <c r="B306" s="28">
        <f t="shared" si="6"/>
        <v>281</v>
      </c>
      <c r="C306" s="17">
        <v>52657</v>
      </c>
      <c r="D306" s="32">
        <f t="shared" si="7"/>
        <v>1313133.60628755</v>
      </c>
      <c r="E306" s="32">
        <f t="shared" si="0"/>
        <v>18278.6654010401</v>
      </c>
      <c r="F306" s="32">
        <f t="shared" si="1"/>
        <v>3556.40351702878</v>
      </c>
      <c r="G306" s="32">
        <f t="shared" si="2"/>
        <v>14722.2618840113</v>
      </c>
      <c r="H306" s="32">
        <f t="shared" si="3"/>
        <v>1298411.34440354</v>
      </c>
      <c r="I306" s="32">
        <f t="shared" si="4"/>
        <v>0</v>
      </c>
      <c r="J306" s="32">
        <f t="shared" si="5"/>
        <v>18278.6654010401</v>
      </c>
      <c r="K306" s="18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Height="1" spans="1:26">
      <c r="A307" s="2"/>
      <c r="B307" s="28">
        <f t="shared" si="6"/>
        <v>282</v>
      </c>
      <c r="C307" s="17">
        <v>52688</v>
      </c>
      <c r="D307" s="32">
        <f t="shared" si="7"/>
        <v>1298411.34440354</v>
      </c>
      <c r="E307" s="32">
        <f t="shared" si="0"/>
        <v>18278.6654010401</v>
      </c>
      <c r="F307" s="32">
        <f t="shared" si="1"/>
        <v>3516.53072442625</v>
      </c>
      <c r="G307" s="32">
        <f t="shared" si="2"/>
        <v>14762.1346766138</v>
      </c>
      <c r="H307" s="32">
        <f t="shared" si="3"/>
        <v>1283649.20972693</v>
      </c>
      <c r="I307" s="32">
        <f t="shared" si="4"/>
        <v>0</v>
      </c>
      <c r="J307" s="32">
        <f t="shared" si="5"/>
        <v>18278.6654010401</v>
      </c>
      <c r="K307" s="18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Height="1" spans="1:26">
      <c r="A308" s="2"/>
      <c r="B308" s="28">
        <f t="shared" si="6"/>
        <v>283</v>
      </c>
      <c r="C308" s="17">
        <v>52718</v>
      </c>
      <c r="D308" s="32">
        <f t="shared" si="7"/>
        <v>1283649.20972693</v>
      </c>
      <c r="E308" s="32">
        <f t="shared" si="0"/>
        <v>18278.6654010401</v>
      </c>
      <c r="F308" s="32">
        <f t="shared" si="1"/>
        <v>3476.54994301042</v>
      </c>
      <c r="G308" s="32">
        <f t="shared" si="2"/>
        <v>14802.1154580296</v>
      </c>
      <c r="H308" s="32">
        <f t="shared" si="3"/>
        <v>1268847.0942689</v>
      </c>
      <c r="I308" s="32">
        <f t="shared" si="4"/>
        <v>0</v>
      </c>
      <c r="J308" s="32">
        <f t="shared" si="5"/>
        <v>18278.6654010401</v>
      </c>
      <c r="K308" s="18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Height="1" spans="1:26">
      <c r="A309" s="2"/>
      <c r="B309" s="28">
        <f t="shared" si="6"/>
        <v>284</v>
      </c>
      <c r="C309" s="17">
        <v>52749</v>
      </c>
      <c r="D309" s="32">
        <f t="shared" si="7"/>
        <v>1268847.0942689</v>
      </c>
      <c r="E309" s="32">
        <f t="shared" si="0"/>
        <v>18278.6654010401</v>
      </c>
      <c r="F309" s="32">
        <f t="shared" si="1"/>
        <v>3436.46088031159</v>
      </c>
      <c r="G309" s="32">
        <f t="shared" si="2"/>
        <v>14842.2045207285</v>
      </c>
      <c r="H309" s="32">
        <f t="shared" si="3"/>
        <v>1254004.88974817</v>
      </c>
      <c r="I309" s="32">
        <f t="shared" si="4"/>
        <v>0</v>
      </c>
      <c r="J309" s="32">
        <f t="shared" si="5"/>
        <v>18278.6654010401</v>
      </c>
      <c r="K309" s="18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Height="1" spans="1:26">
      <c r="A310" s="2"/>
      <c r="B310" s="28">
        <f t="shared" si="6"/>
        <v>285</v>
      </c>
      <c r="C310" s="17">
        <v>52779</v>
      </c>
      <c r="D310" s="32">
        <f t="shared" si="7"/>
        <v>1254004.88974817</v>
      </c>
      <c r="E310" s="32">
        <f t="shared" si="0"/>
        <v>18278.6654010401</v>
      </c>
      <c r="F310" s="32">
        <f t="shared" si="1"/>
        <v>3396.26324306795</v>
      </c>
      <c r="G310" s="32">
        <f t="shared" si="2"/>
        <v>14882.4021579721</v>
      </c>
      <c r="H310" s="32">
        <f t="shared" si="3"/>
        <v>1239122.48759019</v>
      </c>
      <c r="I310" s="32">
        <f t="shared" si="4"/>
        <v>0</v>
      </c>
      <c r="J310" s="32">
        <f t="shared" si="5"/>
        <v>18278.6654010401</v>
      </c>
      <c r="K310" s="18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Height="1" spans="1:26">
      <c r="A311" s="2"/>
      <c r="B311" s="28">
        <f t="shared" si="6"/>
        <v>286</v>
      </c>
      <c r="C311" s="17">
        <v>52810</v>
      </c>
      <c r="D311" s="32">
        <f t="shared" si="7"/>
        <v>1239122.48759019</v>
      </c>
      <c r="E311" s="32">
        <f t="shared" si="0"/>
        <v>18278.6654010401</v>
      </c>
      <c r="F311" s="32">
        <f t="shared" si="1"/>
        <v>3355.95673722344</v>
      </c>
      <c r="G311" s="32">
        <f t="shared" si="2"/>
        <v>14922.7086638166</v>
      </c>
      <c r="H311" s="32">
        <f t="shared" si="3"/>
        <v>1224199.77892638</v>
      </c>
      <c r="I311" s="32">
        <f t="shared" si="4"/>
        <v>0</v>
      </c>
      <c r="J311" s="32">
        <f t="shared" si="5"/>
        <v>18278.6654010401</v>
      </c>
      <c r="K311" s="18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Height="1" spans="1:26">
      <c r="A312" s="2"/>
      <c r="B312" s="28">
        <f t="shared" si="6"/>
        <v>287</v>
      </c>
      <c r="C312" s="17">
        <v>52841</v>
      </c>
      <c r="D312" s="32">
        <f t="shared" si="7"/>
        <v>1224199.77892638</v>
      </c>
      <c r="E312" s="32">
        <f t="shared" si="0"/>
        <v>18278.6654010401</v>
      </c>
      <c r="F312" s="32">
        <f t="shared" si="1"/>
        <v>3315.54106792561</v>
      </c>
      <c r="G312" s="32">
        <f t="shared" si="2"/>
        <v>14963.1243331145</v>
      </c>
      <c r="H312" s="32">
        <f t="shared" si="3"/>
        <v>1209236.65459326</v>
      </c>
      <c r="I312" s="32">
        <f t="shared" si="4"/>
        <v>0</v>
      </c>
      <c r="J312" s="32">
        <f t="shared" si="5"/>
        <v>18278.6654010401</v>
      </c>
      <c r="K312" s="18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Height="1" spans="1:26">
      <c r="A313" s="2"/>
      <c r="B313" s="28">
        <f t="shared" si="6"/>
        <v>288</v>
      </c>
      <c r="C313" s="17">
        <v>52871</v>
      </c>
      <c r="D313" s="32">
        <f t="shared" si="7"/>
        <v>1209236.65459326</v>
      </c>
      <c r="E313" s="32">
        <f t="shared" si="0"/>
        <v>18278.6654010401</v>
      </c>
      <c r="F313" s="32">
        <f t="shared" si="1"/>
        <v>3275.01593952342</v>
      </c>
      <c r="G313" s="32">
        <f t="shared" si="2"/>
        <v>15003.6494615166</v>
      </c>
      <c r="H313" s="32">
        <f t="shared" si="3"/>
        <v>1194233.00513175</v>
      </c>
      <c r="I313" s="32">
        <f t="shared" si="4"/>
        <v>0</v>
      </c>
      <c r="J313" s="32">
        <f t="shared" si="5"/>
        <v>18278.6654010401</v>
      </c>
      <c r="K313" s="18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Height="1" spans="1:26">
      <c r="A314" s="2"/>
      <c r="B314" s="28">
        <f t="shared" si="6"/>
        <v>289</v>
      </c>
      <c r="C314" s="17">
        <v>52902</v>
      </c>
      <c r="D314" s="32">
        <f t="shared" si="7"/>
        <v>1194233.00513175</v>
      </c>
      <c r="E314" s="32">
        <f t="shared" si="0"/>
        <v>18278.6654010401</v>
      </c>
      <c r="F314" s="32">
        <f t="shared" si="1"/>
        <v>3234.38105556515</v>
      </c>
      <c r="G314" s="32">
        <f t="shared" si="2"/>
        <v>15044.2843454749</v>
      </c>
      <c r="H314" s="32">
        <f t="shared" si="3"/>
        <v>1179188.72078627</v>
      </c>
      <c r="I314" s="32">
        <f t="shared" si="4"/>
        <v>0</v>
      </c>
      <c r="J314" s="32">
        <f t="shared" si="5"/>
        <v>18278.6654010401</v>
      </c>
      <c r="K314" s="32">
        <f>SUM(I314:I325)</f>
        <v>0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Height="1" spans="1:26">
      <c r="A315" s="2"/>
      <c r="B315" s="28">
        <f t="shared" si="6"/>
        <v>290</v>
      </c>
      <c r="C315" s="17">
        <v>52932</v>
      </c>
      <c r="D315" s="32">
        <f t="shared" si="7"/>
        <v>1179188.72078627</v>
      </c>
      <c r="E315" s="32">
        <f t="shared" si="0"/>
        <v>18278.6654010401</v>
      </c>
      <c r="F315" s="32">
        <f t="shared" si="1"/>
        <v>3193.63611879615</v>
      </c>
      <c r="G315" s="32">
        <f t="shared" si="2"/>
        <v>15085.0292822439</v>
      </c>
      <c r="H315" s="32">
        <f t="shared" si="3"/>
        <v>1164103.69150403</v>
      </c>
      <c r="I315" s="32">
        <f t="shared" si="4"/>
        <v>0</v>
      </c>
      <c r="J315" s="32">
        <f t="shared" si="5"/>
        <v>18278.6654010401</v>
      </c>
      <c r="K315" s="18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Height="1" spans="1:26">
      <c r="A316" s="2"/>
      <c r="B316" s="28">
        <f t="shared" si="6"/>
        <v>291</v>
      </c>
      <c r="C316" s="17">
        <v>52963</v>
      </c>
      <c r="D316" s="32">
        <f t="shared" si="7"/>
        <v>1164103.69150403</v>
      </c>
      <c r="E316" s="32">
        <f t="shared" si="0"/>
        <v>18278.6654010401</v>
      </c>
      <c r="F316" s="32">
        <f t="shared" si="1"/>
        <v>3152.78083115674</v>
      </c>
      <c r="G316" s="32">
        <f t="shared" si="2"/>
        <v>15125.8845698833</v>
      </c>
      <c r="H316" s="32">
        <f t="shared" si="3"/>
        <v>1148977.80693415</v>
      </c>
      <c r="I316" s="32">
        <f t="shared" si="4"/>
        <v>0</v>
      </c>
      <c r="J316" s="32">
        <f t="shared" si="5"/>
        <v>18278.6654010401</v>
      </c>
      <c r="K316" s="18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Height="1" spans="1:26">
      <c r="A317" s="2"/>
      <c r="B317" s="28">
        <f t="shared" si="6"/>
        <v>292</v>
      </c>
      <c r="C317" s="17">
        <v>52994</v>
      </c>
      <c r="D317" s="32">
        <f t="shared" si="7"/>
        <v>1148977.80693415</v>
      </c>
      <c r="E317" s="32">
        <f t="shared" si="0"/>
        <v>18278.6654010401</v>
      </c>
      <c r="F317" s="32">
        <f t="shared" si="1"/>
        <v>3111.81489377998</v>
      </c>
      <c r="G317" s="32">
        <f t="shared" si="2"/>
        <v>15166.8505072601</v>
      </c>
      <c r="H317" s="32">
        <f t="shared" si="3"/>
        <v>1133810.95642688</v>
      </c>
      <c r="I317" s="32">
        <f t="shared" si="4"/>
        <v>0</v>
      </c>
      <c r="J317" s="32">
        <f t="shared" si="5"/>
        <v>18278.6654010401</v>
      </c>
      <c r="K317" s="18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Height="1" spans="1:26">
      <c r="A318" s="2"/>
      <c r="B318" s="28">
        <f t="shared" si="6"/>
        <v>293</v>
      </c>
      <c r="C318" s="17">
        <v>53022</v>
      </c>
      <c r="D318" s="32">
        <f t="shared" si="7"/>
        <v>1133810.95642688</v>
      </c>
      <c r="E318" s="32">
        <f t="shared" si="0"/>
        <v>18278.6654010401</v>
      </c>
      <c r="F318" s="32">
        <f t="shared" si="1"/>
        <v>3070.73800698948</v>
      </c>
      <c r="G318" s="32">
        <f t="shared" si="2"/>
        <v>15207.9273940506</v>
      </c>
      <c r="H318" s="32">
        <f t="shared" si="3"/>
        <v>1118603.02903283</v>
      </c>
      <c r="I318" s="32">
        <f t="shared" si="4"/>
        <v>0</v>
      </c>
      <c r="J318" s="32">
        <f t="shared" si="5"/>
        <v>18278.6654010401</v>
      </c>
      <c r="K318" s="18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Height="1" spans="1:26">
      <c r="A319" s="2"/>
      <c r="B319" s="28">
        <f t="shared" si="6"/>
        <v>294</v>
      </c>
      <c r="C319" s="17">
        <v>53053</v>
      </c>
      <c r="D319" s="32">
        <f t="shared" si="7"/>
        <v>1118603.02903283</v>
      </c>
      <c r="E319" s="32">
        <f t="shared" si="0"/>
        <v>18278.6654010401</v>
      </c>
      <c r="F319" s="32">
        <f t="shared" si="1"/>
        <v>3029.54987029726</v>
      </c>
      <c r="G319" s="32">
        <f t="shared" si="2"/>
        <v>15249.1155307428</v>
      </c>
      <c r="H319" s="32">
        <f t="shared" si="3"/>
        <v>1103353.91350209</v>
      </c>
      <c r="I319" s="32">
        <f t="shared" si="4"/>
        <v>0</v>
      </c>
      <c r="J319" s="32">
        <f t="shared" si="5"/>
        <v>18278.6654010401</v>
      </c>
      <c r="K319" s="18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Height="1" spans="1:26">
      <c r="A320" s="2"/>
      <c r="B320" s="28">
        <f t="shared" si="6"/>
        <v>295</v>
      </c>
      <c r="C320" s="17">
        <v>53083</v>
      </c>
      <c r="D320" s="32">
        <f t="shared" si="7"/>
        <v>1103353.91350209</v>
      </c>
      <c r="E320" s="32">
        <f t="shared" si="0"/>
        <v>18278.6654010401</v>
      </c>
      <c r="F320" s="32">
        <f t="shared" si="1"/>
        <v>2988.2501824015</v>
      </c>
      <c r="G320" s="32">
        <f t="shared" si="2"/>
        <v>15290.4152186386</v>
      </c>
      <c r="H320" s="32">
        <f t="shared" si="3"/>
        <v>1088063.49828345</v>
      </c>
      <c r="I320" s="32">
        <f t="shared" si="4"/>
        <v>0</v>
      </c>
      <c r="J320" s="32">
        <f t="shared" si="5"/>
        <v>18278.6654010401</v>
      </c>
      <c r="K320" s="18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Height="1" spans="1:26">
      <c r="A321" s="2"/>
      <c r="B321" s="28">
        <f t="shared" si="6"/>
        <v>296</v>
      </c>
      <c r="C321" s="17">
        <v>53114</v>
      </c>
      <c r="D321" s="32">
        <f t="shared" si="7"/>
        <v>1088063.49828345</v>
      </c>
      <c r="E321" s="32">
        <f t="shared" si="0"/>
        <v>18278.6654010401</v>
      </c>
      <c r="F321" s="32">
        <f t="shared" si="1"/>
        <v>2946.83864118435</v>
      </c>
      <c r="G321" s="32">
        <f t="shared" si="2"/>
        <v>15331.8267598557</v>
      </c>
      <c r="H321" s="32">
        <f t="shared" si="3"/>
        <v>1072731.6715236</v>
      </c>
      <c r="I321" s="32">
        <f t="shared" si="4"/>
        <v>0</v>
      </c>
      <c r="J321" s="32">
        <f t="shared" si="5"/>
        <v>18278.6654010401</v>
      </c>
      <c r="K321" s="18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Height="1" spans="1:26">
      <c r="A322" s="2"/>
      <c r="B322" s="28">
        <f t="shared" si="6"/>
        <v>297</v>
      </c>
      <c r="C322" s="17">
        <v>53144</v>
      </c>
      <c r="D322" s="32">
        <f t="shared" si="7"/>
        <v>1072731.6715236</v>
      </c>
      <c r="E322" s="32">
        <f t="shared" si="0"/>
        <v>18278.6654010401</v>
      </c>
      <c r="F322" s="32">
        <f t="shared" si="1"/>
        <v>2905.31494370974</v>
      </c>
      <c r="G322" s="32">
        <f t="shared" si="2"/>
        <v>15373.3504573303</v>
      </c>
      <c r="H322" s="32">
        <f t="shared" si="3"/>
        <v>1057358.32106627</v>
      </c>
      <c r="I322" s="32">
        <f t="shared" si="4"/>
        <v>0</v>
      </c>
      <c r="J322" s="32">
        <f t="shared" si="5"/>
        <v>18278.6654010401</v>
      </c>
      <c r="K322" s="18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Height="1" spans="1:26">
      <c r="A323" s="2"/>
      <c r="B323" s="28">
        <f t="shared" si="6"/>
        <v>298</v>
      </c>
      <c r="C323" s="17">
        <v>53175</v>
      </c>
      <c r="D323" s="32">
        <f t="shared" si="7"/>
        <v>1057358.32106627</v>
      </c>
      <c r="E323" s="32">
        <f t="shared" si="0"/>
        <v>18278.6654010401</v>
      </c>
      <c r="F323" s="32">
        <f t="shared" si="1"/>
        <v>2863.67878622114</v>
      </c>
      <c r="G323" s="32">
        <f t="shared" si="2"/>
        <v>15414.9866148189</v>
      </c>
      <c r="H323" s="32">
        <f t="shared" si="3"/>
        <v>1041943.33445145</v>
      </c>
      <c r="I323" s="32">
        <f t="shared" si="4"/>
        <v>0</v>
      </c>
      <c r="J323" s="32">
        <f t="shared" si="5"/>
        <v>18278.6654010401</v>
      </c>
      <c r="K323" s="18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Height="1" spans="1:26">
      <c r="A324" s="2"/>
      <c r="B324" s="28">
        <f t="shared" si="6"/>
        <v>299</v>
      </c>
      <c r="C324" s="17">
        <v>53206</v>
      </c>
      <c r="D324" s="32">
        <f t="shared" si="7"/>
        <v>1041943.33445145</v>
      </c>
      <c r="E324" s="32">
        <f t="shared" si="0"/>
        <v>18278.6654010401</v>
      </c>
      <c r="F324" s="32">
        <f t="shared" si="1"/>
        <v>2821.92986413934</v>
      </c>
      <c r="G324" s="32">
        <f t="shared" si="2"/>
        <v>15456.7355369007</v>
      </c>
      <c r="H324" s="32">
        <f t="shared" si="3"/>
        <v>1026486.59891455</v>
      </c>
      <c r="I324" s="32">
        <f t="shared" si="4"/>
        <v>0</v>
      </c>
      <c r="J324" s="32">
        <f t="shared" si="5"/>
        <v>18278.6654010401</v>
      </c>
      <c r="K324" s="18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Height="1" spans="1:26">
      <c r="A325" s="2"/>
      <c r="B325" s="28">
        <f t="shared" si="6"/>
        <v>300</v>
      </c>
      <c r="C325" s="17">
        <v>53236</v>
      </c>
      <c r="D325" s="32">
        <f t="shared" si="7"/>
        <v>1026486.59891455</v>
      </c>
      <c r="E325" s="32">
        <f t="shared" si="0"/>
        <v>18278.6654010401</v>
      </c>
      <c r="F325" s="32">
        <f t="shared" si="1"/>
        <v>2780.06787206023</v>
      </c>
      <c r="G325" s="32">
        <f t="shared" si="2"/>
        <v>15498.5975289798</v>
      </c>
      <c r="H325" s="32">
        <f t="shared" si="3"/>
        <v>1010988.00138557</v>
      </c>
      <c r="I325" s="32">
        <f t="shared" si="4"/>
        <v>0</v>
      </c>
      <c r="J325" s="32">
        <f t="shared" si="5"/>
        <v>18278.6654010401</v>
      </c>
      <c r="K325" s="18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Height="1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Height="1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Height="1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Height="1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Height="1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Height="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Height="1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Height="1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Height="1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Height="1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Height="1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Height="1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Height="1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Height="1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Height="1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Height="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Height="1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Height="1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Height="1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Height="1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Height="1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Height="1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Height="1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Height="1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Height="1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Height="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Height="1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Height="1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Height="1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Height="1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Height="1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Height="1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Height="1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Height="1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Height="1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Height="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Height="1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Height="1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Height="1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Height="1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Height="1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Height="1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Height="1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Height="1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Height="1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Height="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Height="1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Height="1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Height="1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Height="1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Height="1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Height="1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Height="1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Height="1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Height="1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Height="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Height="1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Height="1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Height="1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Height="1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Height="1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Height="1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Height="1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Height="1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Height="1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Height="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Height="1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Height="1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Height="1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Height="1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Height="1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Height="1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Height="1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Height="1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Height="1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Height="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Height="1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Height="1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Height="1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Height="1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Height="1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Height="1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Height="1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Height="1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Height="1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Height="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Height="1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Height="1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Height="1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Height="1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Height="1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Height="1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Height="1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Height="1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Height="1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Height="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Height="1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Height="1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Height="1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Height="1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Height="1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Height="1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Height="1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Height="1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Height="1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Height="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Height="1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Height="1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Height="1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Height="1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Height="1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Height="1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Height="1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Height="1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Height="1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Height="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Height="1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Height="1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Height="1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Height="1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Height="1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Height="1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Height="1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Height="1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Height="1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Height="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Height="1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Height="1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Height="1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Height="1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Height="1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Height="1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Height="1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Height="1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Height="1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Height="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Height="1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Height="1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Height="1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Height="1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Height="1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Height="1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Height="1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Height="1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Height="1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Height="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Height="1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Height="1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Height="1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Height="1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Height="1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Height="1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Height="1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Height="1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Height="1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Height="1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Height="1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Height="1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Height="1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Height="1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Height="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Height="1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Height="1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Height="1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Height="1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Height="1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Height="1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Height="1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Height="1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Height="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Height="1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Height="1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Height="1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Height="1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Height="1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Height="1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Height="1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Height="1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Height="1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Height="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Height="1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Height="1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Height="1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Height="1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Height="1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Height="1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Height="1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Height="1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Height="1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Height="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Height="1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Height="1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Height="1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Height="1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Height="1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Height="1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Height="1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Height="1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Height="1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Height="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Height="1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Height="1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Height="1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Height="1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Height="1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Height="1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Height="1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Height="1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Height="1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Height="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Height="1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Height="1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Height="1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Height="1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Height="1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Height="1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Height="1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Height="1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Height="1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Height="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Height="1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Height="1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Height="1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Height="1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Height="1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Height="1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Height="1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Height="1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Height="1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Height="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Height="1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Height="1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Height="1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Height="1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Height="1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Height="1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Height="1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Height="1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Height="1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Height="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Height="1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Height="1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Height="1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Height="1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Height="1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Height="1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Height="1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Height="1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Height="1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Height="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Height="1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Height="1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Height="1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Height="1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Height="1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Height="1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Height="1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Height="1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Height="1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Height="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Height="1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Height="1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Height="1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Height="1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Height="1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Height="1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Height="1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Height="1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Height="1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Height="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Height="1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Height="1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Height="1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Height="1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Height="1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Height="1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Height="1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Height="1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Height="1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Height="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Height="1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Height="1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Height="1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Height="1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Height="1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Height="1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Height="1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Height="1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Height="1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Height="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Height="1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Height="1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Height="1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Height="1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Height="1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Height="1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Height="1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Height="1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Height="1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Height="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Height="1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Height="1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Height="1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Height="1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Height="1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Height="1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Height="1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Height="1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Height="1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Height="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Height="1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Height="1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Height="1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Height="1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Height="1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Height="1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Height="1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Height="1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Height="1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Height="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Height="1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Height="1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Height="1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Height="1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Height="1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Height="1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Height="1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Height="1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Height="1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Height="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Height="1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Height="1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Height="1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Height="1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Height="1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Height="1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Height="1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Height="1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Height="1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Height="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Height="1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Height="1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Height="1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Height="1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Height="1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Height="1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Height="1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Height="1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Height="1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Height="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Height="1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Height="1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Height="1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Height="1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Height="1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Height="1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Height="1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Height="1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Height="1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Height="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Height="1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Height="1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Height="1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Height="1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Height="1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Height="1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Height="1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Height="1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Height="1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Height="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Height="1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Height="1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Height="1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Height="1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Height="1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Height="1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Height="1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Height="1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Height="1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Height="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Height="1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Height="1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Height="1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Height="1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Height="1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Height="1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Height="1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Height="1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Height="1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Height="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Height="1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Height="1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Height="1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Height="1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Height="1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Height="1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Height="1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Height="1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Height="1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Height="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Height="1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Height="1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Height="1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Height="1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Height="1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Height="1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Height="1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Height="1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Height="1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Height="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Height="1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Height="1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Height="1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Height="1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Height="1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Height="1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Height="1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Height="1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Height="1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Height="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Height="1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Height="1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Height="1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Height="1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Height="1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Height="1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Height="1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Height="1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Height="1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Height="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Height="1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Height="1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Height="1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Height="1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Height="1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Height="1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Height="1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Height="1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Height="1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Height="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Height="1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Height="1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Height="1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Height="1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Height="1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Height="1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Height="1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Height="1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Height="1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Height="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Height="1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Height="1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Height="1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Height="1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Height="1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Height="1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Height="1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Height="1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Height="1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Height="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Height="1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Height="1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Height="1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Height="1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Height="1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Height="1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Height="1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Height="1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Height="1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Height="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Height="1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Height="1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Height="1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Height="1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Height="1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Height="1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Height="1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Height="1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Height="1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Height="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Height="1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Height="1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Height="1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Height="1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Height="1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Height="1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Height="1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Height="1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Height="1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Height="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Height="1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Height="1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Height="1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Height="1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Height="1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Height="1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Height="1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Height="1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Height="1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Height="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Height="1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Height="1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Height="1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Height="1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Height="1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Height="1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Height="1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Height="1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Height="1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Height="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Height="1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Height="1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Height="1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Height="1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Height="1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Height="1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Height="1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Height="1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Height="1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Height="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Height="1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Height="1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Height="1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Height="1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Height="1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Height="1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Height="1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Height="1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Height="1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Height="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Height="1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Height="1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Height="1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Height="1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Height="1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Height="1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Height="1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Height="1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Height="1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Height="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Height="1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Height="1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Height="1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Height="1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Height="1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Height="1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Height="1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Height="1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Height="1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Height="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Height="1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Height="1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Height="1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Height="1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Height="1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Height="1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Height="1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Height="1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Height="1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Height="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Height="1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Height="1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Height="1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Height="1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Height="1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Height="1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Height="1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Height="1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Height="1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Height="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Height="1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Height="1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Height="1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Height="1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Height="1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Height="1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Height="1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Height="1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Height="1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Height="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Height="1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Height="1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Height="1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Height="1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Height="1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Height="1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Height="1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Height="1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Height="1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Height="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Height="1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Height="1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Height="1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Height="1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Height="1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Height="1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Height="1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Height="1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Height="1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Height="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Height="1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Height="1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Height="1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Height="1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Height="1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Height="1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Height="1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Height="1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Height="1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Height="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Height="1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Height="1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Height="1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Height="1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Height="1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Height="1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Height="1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Height="1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Height="1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Height="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Height="1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Height="1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Height="1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Height="1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Height="1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Height="1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Height="1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Height="1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Height="1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Height="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Height="1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Height="1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Height="1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Height="1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Height="1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Height="1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Height="1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Height="1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Height="1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Height="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Height="1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Height="1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Height="1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Height="1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Height="1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Height="1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Height="1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Height="1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Height="1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Height="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Height="1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Height="1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Height="1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Height="1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Height="1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Height="1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Height="1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Height="1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Height="1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Height="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Height="1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Height="1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Height="1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Height="1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Height="1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Height="1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Height="1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Height="1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Height="1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Z1000"/>
  <sheetViews>
    <sheetView showGridLines="0" workbookViewId="0">
      <selection activeCell="B8" sqref="B8"/>
    </sheetView>
  </sheetViews>
  <sheetFormatPr defaultColWidth="14.4336283185841" defaultRowHeight="15" customHeight="1"/>
  <cols>
    <col min="1" max="2" width="8.85840707964602" customWidth="1"/>
    <col min="3" max="3" width="10.7079646017699" customWidth="1"/>
    <col min="4" max="4" width="16.858407079646" customWidth="1"/>
    <col min="5" max="5" width="18.2920353982301" customWidth="1"/>
    <col min="6" max="6" width="14.2920353982301" customWidth="1"/>
    <col min="7" max="7" width="15.858407079646" customWidth="1"/>
    <col min="8" max="8" width="16.858407079646" customWidth="1"/>
    <col min="9" max="9" width="16.2920353982301" customWidth="1"/>
    <col min="10" max="10" width="22.2920353982301" customWidth="1"/>
    <col min="11" max="11" width="13.141592920354" customWidth="1"/>
    <col min="12" max="12" width="8.85840707964602" customWidth="1"/>
    <col min="13" max="13" width="10.2920353982301" customWidth="1"/>
    <col min="14" max="26" width="8.85840707964602" customWidth="1"/>
  </cols>
  <sheetData>
    <row r="2" ht="20.25" spans="2:13">
      <c r="B2" s="1" t="str">
        <f>'Pro-forma'!B3</f>
        <v>Address: 1718 North Sydenham Street Philadelphia, PA 19121</v>
      </c>
    </row>
    <row r="3" customHeight="1" spans="2:13">
      <c r="K3" s="2"/>
    </row>
    <row r="4" customHeight="1" spans="2:13">
      <c r="K4" s="2"/>
      <c r="L4" s="2"/>
      <c r="M4" s="2"/>
    </row>
    <row r="5" spans="2:13">
      <c r="B5" s="2" t="s">
        <v>416</v>
      </c>
      <c r="I5" s="3">
        <f>'Pro-forma'!U133</f>
        <v>3962686.4645025</v>
      </c>
      <c r="J5" s="2" t="s">
        <v>417</v>
      </c>
      <c r="K5" s="4"/>
      <c r="L5" s="5"/>
      <c r="M5" s="4"/>
    </row>
    <row r="7" spans="2:13">
      <c r="B7" s="2" t="s">
        <v>418</v>
      </c>
      <c r="I7" s="6">
        <f>I5</f>
        <v>3962686.4645025</v>
      </c>
    </row>
    <row r="8" spans="2:13">
      <c r="B8" s="2" t="s">
        <v>419</v>
      </c>
      <c r="I8" s="7">
        <v>0.055</v>
      </c>
    </row>
    <row r="9" ht="14.25" spans="2:13">
      <c r="B9" s="2" t="s">
        <v>420</v>
      </c>
      <c r="I9" s="8">
        <f>I8/12</f>
        <v>0.00458333333333333</v>
      </c>
    </row>
    <row r="10" ht="14.25" spans="2:13">
      <c r="B10" s="2" t="s">
        <v>421</v>
      </c>
      <c r="I10" s="2">
        <f>I9/(1-(1/(1+I9)^I16))</f>
        <v>0.00567789001347001</v>
      </c>
    </row>
    <row r="12" ht="14.25" spans="2:13">
      <c r="B12" s="2" t="s">
        <v>422</v>
      </c>
      <c r="I12" s="9">
        <v>47058</v>
      </c>
    </row>
    <row r="13" ht="14.25" spans="2:13">
      <c r="B13" s="2" t="s">
        <v>423</v>
      </c>
      <c r="I13" s="9">
        <v>19815</v>
      </c>
    </row>
    <row r="15" ht="14.25" spans="2:13">
      <c r="B15" s="2" t="s">
        <v>424</v>
      </c>
      <c r="I15" s="10">
        <v>30</v>
      </c>
    </row>
    <row r="16" ht="14.25" spans="2:13">
      <c r="B16" s="2" t="s">
        <v>425</v>
      </c>
      <c r="I16" s="2">
        <f>I15*12</f>
        <v>360</v>
      </c>
    </row>
    <row r="18" ht="14.25" spans="1:26">
      <c r="B18" s="11" t="s">
        <v>426</v>
      </c>
    </row>
    <row r="19" ht="14.25" spans="1:26">
      <c r="B19" s="2" t="s">
        <v>427</v>
      </c>
      <c r="I19" s="12">
        <v>0</v>
      </c>
    </row>
    <row r="20" ht="14.25" spans="1:26">
      <c r="B20" s="2" t="s">
        <v>428</v>
      </c>
      <c r="I20" s="8">
        <f>I19/12</f>
        <v>0</v>
      </c>
    </row>
    <row r="21" ht="15.75" customHeight="1"/>
    <row r="22" ht="15.75" customHeight="1" spans="1:26">
      <c r="B22" s="2" t="s">
        <v>441</v>
      </c>
      <c r="I22" s="13">
        <f>E26*12</f>
        <v>269996.374839738</v>
      </c>
      <c r="J22" s="14">
        <f>I22*15</f>
        <v>4049945.62259607</v>
      </c>
    </row>
    <row r="23" ht="15.75" customHeight="1" spans="1:26">
      <c r="H23" s="2" t="s">
        <v>442</v>
      </c>
      <c r="I23" s="14">
        <f>I7*I8</f>
        <v>217947.755547637</v>
      </c>
      <c r="J23" s="14"/>
    </row>
    <row r="24" ht="15.75" customHeight="1"/>
    <row r="25" ht="15.75" customHeight="1" spans="1:26">
      <c r="A25" s="15"/>
      <c r="B25" s="16" t="s">
        <v>431</v>
      </c>
      <c r="C25" s="16" t="s">
        <v>432</v>
      </c>
      <c r="D25" s="16" t="s">
        <v>433</v>
      </c>
      <c r="E25" s="16" t="s">
        <v>434</v>
      </c>
      <c r="F25" s="16" t="s">
        <v>435</v>
      </c>
      <c r="G25" s="16" t="s">
        <v>436</v>
      </c>
      <c r="H25" s="16" t="s">
        <v>437</v>
      </c>
      <c r="I25" s="16" t="s">
        <v>438</v>
      </c>
      <c r="J25" s="16" t="s">
        <v>439</v>
      </c>
      <c r="K25" s="16" t="s">
        <v>440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 spans="1:26">
      <c r="B26" s="2">
        <v>1</v>
      </c>
      <c r="C26" s="17">
        <v>44136</v>
      </c>
      <c r="D26" s="14">
        <f>I7</f>
        <v>3962686.4645025</v>
      </c>
      <c r="E26" s="14">
        <f t="shared" ref="E26:E325" si="0">$D$26*$I$10</f>
        <v>22499.6979033115</v>
      </c>
      <c r="F26" s="14">
        <f t="shared" ref="F26:F325" si="1">D26*$I$9</f>
        <v>18162.3129623031</v>
      </c>
      <c r="G26" s="14">
        <f t="shared" ref="G26:G325" si="2">E26-F26</f>
        <v>4337.38494100841</v>
      </c>
      <c r="H26" s="14">
        <f t="shared" ref="H26:H325" si="3">D26-G26</f>
        <v>3958349.07956149</v>
      </c>
      <c r="I26" s="14">
        <f t="shared" ref="I26:I325" si="4">$I$20*D26</f>
        <v>0</v>
      </c>
      <c r="J26" s="14">
        <f t="shared" ref="J26:J325" si="5">E26+I26</f>
        <v>22499.6979033115</v>
      </c>
      <c r="K26" s="14">
        <f>SUM(I26:I37)</f>
        <v>0</v>
      </c>
    </row>
    <row r="27" ht="15.75" customHeight="1" spans="1:26">
      <c r="B27" s="2">
        <f t="shared" ref="B27:B325" si="6">B26+1</f>
        <v>2</v>
      </c>
      <c r="C27" s="17">
        <v>44166</v>
      </c>
      <c r="D27" s="14">
        <f t="shared" ref="D27:D325" si="7">H26</f>
        <v>3958349.07956149</v>
      </c>
      <c r="E27" s="14">
        <f t="shared" si="0"/>
        <v>22499.6979033115</v>
      </c>
      <c r="F27" s="14">
        <f t="shared" si="1"/>
        <v>18142.4332813235</v>
      </c>
      <c r="G27" s="14">
        <f t="shared" si="2"/>
        <v>4357.26462198804</v>
      </c>
      <c r="H27" s="14">
        <f t="shared" si="3"/>
        <v>3953991.8149395</v>
      </c>
      <c r="I27" s="14">
        <f t="shared" si="4"/>
        <v>0</v>
      </c>
      <c r="J27" s="14">
        <f t="shared" si="5"/>
        <v>22499.6979033115</v>
      </c>
      <c r="K27" s="18"/>
    </row>
    <row r="28" ht="15.75" customHeight="1" spans="1:26">
      <c r="B28" s="2">
        <f t="shared" si="6"/>
        <v>3</v>
      </c>
      <c r="C28" s="17">
        <v>44197</v>
      </c>
      <c r="D28" s="14">
        <f t="shared" si="7"/>
        <v>3953991.8149395</v>
      </c>
      <c r="E28" s="14">
        <f t="shared" si="0"/>
        <v>22499.6979033115</v>
      </c>
      <c r="F28" s="14">
        <f t="shared" si="1"/>
        <v>18122.4624851394</v>
      </c>
      <c r="G28" s="14">
        <f t="shared" si="2"/>
        <v>4377.23541817215</v>
      </c>
      <c r="H28" s="14">
        <f t="shared" si="3"/>
        <v>3949614.57952133</v>
      </c>
      <c r="I28" s="14">
        <f t="shared" si="4"/>
        <v>0</v>
      </c>
      <c r="J28" s="14">
        <f t="shared" si="5"/>
        <v>22499.6979033115</v>
      </c>
      <c r="K28" s="18"/>
    </row>
    <row r="29" ht="15.75" customHeight="1" spans="1:26">
      <c r="B29" s="2">
        <f t="shared" si="6"/>
        <v>4</v>
      </c>
      <c r="C29" s="17">
        <v>44228</v>
      </c>
      <c r="D29" s="14">
        <f t="shared" si="7"/>
        <v>3949614.57952133</v>
      </c>
      <c r="E29" s="14">
        <f t="shared" si="0"/>
        <v>22499.6979033115</v>
      </c>
      <c r="F29" s="14">
        <f t="shared" si="1"/>
        <v>18102.4001561394</v>
      </c>
      <c r="G29" s="14">
        <f t="shared" si="2"/>
        <v>4397.2977471721</v>
      </c>
      <c r="H29" s="14">
        <f t="shared" si="3"/>
        <v>3945217.28177416</v>
      </c>
      <c r="I29" s="14">
        <f t="shared" si="4"/>
        <v>0</v>
      </c>
      <c r="J29" s="14">
        <f t="shared" si="5"/>
        <v>22499.6979033115</v>
      </c>
      <c r="K29" s="18"/>
    </row>
    <row r="30" ht="15.75" customHeight="1" spans="1:26">
      <c r="B30" s="2">
        <f t="shared" si="6"/>
        <v>5</v>
      </c>
      <c r="C30" s="17">
        <v>44256</v>
      </c>
      <c r="D30" s="14">
        <f t="shared" si="7"/>
        <v>3945217.28177416</v>
      </c>
      <c r="E30" s="14">
        <f t="shared" si="0"/>
        <v>22499.6979033115</v>
      </c>
      <c r="F30" s="14">
        <f t="shared" si="1"/>
        <v>18082.2458747982</v>
      </c>
      <c r="G30" s="14">
        <f t="shared" si="2"/>
        <v>4417.45202851331</v>
      </c>
      <c r="H30" s="14">
        <f t="shared" si="3"/>
        <v>3940799.82974564</v>
      </c>
      <c r="I30" s="14">
        <f t="shared" si="4"/>
        <v>0</v>
      </c>
      <c r="J30" s="14">
        <f t="shared" si="5"/>
        <v>22499.6979033115</v>
      </c>
      <c r="K30" s="18"/>
    </row>
    <row r="31" ht="15.75" customHeight="1" spans="1:26">
      <c r="B31" s="2">
        <f t="shared" si="6"/>
        <v>6</v>
      </c>
      <c r="C31" s="17">
        <v>44287</v>
      </c>
      <c r="D31" s="14">
        <f t="shared" si="7"/>
        <v>3940799.82974564</v>
      </c>
      <c r="E31" s="14">
        <f t="shared" si="0"/>
        <v>22499.6979033115</v>
      </c>
      <c r="F31" s="14">
        <f t="shared" si="1"/>
        <v>18061.9992196675</v>
      </c>
      <c r="G31" s="14">
        <f t="shared" si="2"/>
        <v>4437.69868364399</v>
      </c>
      <c r="H31" s="14">
        <f t="shared" si="3"/>
        <v>3936362.131062</v>
      </c>
      <c r="I31" s="14">
        <f t="shared" si="4"/>
        <v>0</v>
      </c>
      <c r="J31" s="14">
        <f t="shared" si="5"/>
        <v>22499.6979033115</v>
      </c>
      <c r="K31" s="18"/>
    </row>
    <row r="32" ht="15.75" customHeight="1" spans="1:26">
      <c r="B32" s="2">
        <f t="shared" si="6"/>
        <v>7</v>
      </c>
      <c r="C32" s="17">
        <v>44317</v>
      </c>
      <c r="D32" s="14">
        <f t="shared" si="7"/>
        <v>3936362.131062</v>
      </c>
      <c r="E32" s="14">
        <f t="shared" si="0"/>
        <v>22499.6979033115</v>
      </c>
      <c r="F32" s="14">
        <f t="shared" si="1"/>
        <v>18041.6597673675</v>
      </c>
      <c r="G32" s="14">
        <f t="shared" si="2"/>
        <v>4458.03813594403</v>
      </c>
      <c r="H32" s="14">
        <f t="shared" si="3"/>
        <v>3931904.09292606</v>
      </c>
      <c r="I32" s="14">
        <f t="shared" si="4"/>
        <v>0</v>
      </c>
      <c r="J32" s="14">
        <f t="shared" si="5"/>
        <v>22499.6979033115</v>
      </c>
      <c r="K32" s="18"/>
    </row>
    <row r="33" ht="15.75" customHeight="1" spans="2:11">
      <c r="B33" s="2">
        <f t="shared" si="6"/>
        <v>8</v>
      </c>
      <c r="C33" s="17">
        <v>44348</v>
      </c>
      <c r="D33" s="14">
        <f t="shared" si="7"/>
        <v>3931904.09292606</v>
      </c>
      <c r="E33" s="14">
        <f t="shared" si="0"/>
        <v>22499.6979033115</v>
      </c>
      <c r="F33" s="14">
        <f t="shared" si="1"/>
        <v>18021.2270925777</v>
      </c>
      <c r="G33" s="14">
        <f t="shared" si="2"/>
        <v>4478.47081073377</v>
      </c>
      <c r="H33" s="14">
        <f t="shared" si="3"/>
        <v>3927425.62211532</v>
      </c>
      <c r="I33" s="14">
        <f t="shared" si="4"/>
        <v>0</v>
      </c>
      <c r="J33" s="14">
        <f t="shared" si="5"/>
        <v>22499.6979033115</v>
      </c>
      <c r="K33" s="18"/>
    </row>
    <row r="34" ht="15.75" customHeight="1" spans="2:11">
      <c r="B34" s="2">
        <f t="shared" si="6"/>
        <v>9</v>
      </c>
      <c r="C34" s="17">
        <v>44378</v>
      </c>
      <c r="D34" s="14">
        <f t="shared" si="7"/>
        <v>3927425.62211532</v>
      </c>
      <c r="E34" s="14">
        <f t="shared" si="0"/>
        <v>22499.6979033115</v>
      </c>
      <c r="F34" s="14">
        <f t="shared" si="1"/>
        <v>18000.7007680285</v>
      </c>
      <c r="G34" s="14">
        <f t="shared" si="2"/>
        <v>4498.99713528297</v>
      </c>
      <c r="H34" s="14">
        <f t="shared" si="3"/>
        <v>3922926.62498004</v>
      </c>
      <c r="I34" s="14">
        <f t="shared" si="4"/>
        <v>0</v>
      </c>
      <c r="J34" s="14">
        <f t="shared" si="5"/>
        <v>22499.6979033115</v>
      </c>
      <c r="K34" s="18"/>
    </row>
    <row r="35" ht="15.75" customHeight="1" spans="2:11">
      <c r="B35" s="2">
        <f t="shared" si="6"/>
        <v>10</v>
      </c>
      <c r="C35" s="17">
        <v>44409</v>
      </c>
      <c r="D35" s="14">
        <f t="shared" si="7"/>
        <v>3922926.62498004</v>
      </c>
      <c r="E35" s="14">
        <f t="shared" si="0"/>
        <v>22499.6979033115</v>
      </c>
      <c r="F35" s="14">
        <f t="shared" si="1"/>
        <v>17980.0803644918</v>
      </c>
      <c r="G35" s="14">
        <f t="shared" si="2"/>
        <v>4519.61753881968</v>
      </c>
      <c r="H35" s="14">
        <f t="shared" si="3"/>
        <v>3918407.00744122</v>
      </c>
      <c r="I35" s="14">
        <f t="shared" si="4"/>
        <v>0</v>
      </c>
      <c r="J35" s="14">
        <f t="shared" si="5"/>
        <v>22499.6979033115</v>
      </c>
      <c r="K35" s="18"/>
    </row>
    <row r="36" ht="15.75" customHeight="1" spans="2:11">
      <c r="B36" s="2">
        <f t="shared" si="6"/>
        <v>11</v>
      </c>
      <c r="C36" s="17">
        <v>44440</v>
      </c>
      <c r="D36" s="14">
        <f t="shared" si="7"/>
        <v>3918407.00744122</v>
      </c>
      <c r="E36" s="14">
        <f t="shared" si="0"/>
        <v>22499.6979033115</v>
      </c>
      <c r="F36" s="14">
        <f t="shared" si="1"/>
        <v>17959.3654507722</v>
      </c>
      <c r="G36" s="14">
        <f t="shared" si="2"/>
        <v>4540.33245253927</v>
      </c>
      <c r="H36" s="14">
        <f t="shared" si="3"/>
        <v>3913866.67498868</v>
      </c>
      <c r="I36" s="14">
        <f t="shared" si="4"/>
        <v>0</v>
      </c>
      <c r="J36" s="14">
        <f t="shared" si="5"/>
        <v>22499.6979033115</v>
      </c>
      <c r="K36" s="18"/>
    </row>
    <row r="37" ht="15.75" customHeight="1" spans="2:11">
      <c r="B37" s="2">
        <f t="shared" si="6"/>
        <v>12</v>
      </c>
      <c r="C37" s="17">
        <v>44470</v>
      </c>
      <c r="D37" s="14">
        <f t="shared" si="7"/>
        <v>3913866.67498868</v>
      </c>
      <c r="E37" s="14">
        <f t="shared" si="0"/>
        <v>22499.6979033115</v>
      </c>
      <c r="F37" s="14">
        <f t="shared" si="1"/>
        <v>17938.5555936981</v>
      </c>
      <c r="G37" s="14">
        <f t="shared" si="2"/>
        <v>4561.14230961341</v>
      </c>
      <c r="H37" s="14">
        <f t="shared" si="3"/>
        <v>3909305.53267907</v>
      </c>
      <c r="I37" s="14">
        <f t="shared" si="4"/>
        <v>0</v>
      </c>
      <c r="J37" s="14">
        <f t="shared" si="5"/>
        <v>22499.6979033115</v>
      </c>
      <c r="K37" s="18"/>
    </row>
    <row r="38" ht="15.75" customHeight="1" spans="2:11">
      <c r="B38" s="2">
        <f t="shared" si="6"/>
        <v>13</v>
      </c>
      <c r="C38" s="17">
        <v>44501</v>
      </c>
      <c r="D38" s="14">
        <f t="shared" si="7"/>
        <v>3909305.53267907</v>
      </c>
      <c r="E38" s="14">
        <f t="shared" si="0"/>
        <v>22499.6979033115</v>
      </c>
      <c r="F38" s="14">
        <f t="shared" si="1"/>
        <v>17917.6503581124</v>
      </c>
      <c r="G38" s="14">
        <f t="shared" si="2"/>
        <v>4582.04754519914</v>
      </c>
      <c r="H38" s="14">
        <f t="shared" si="3"/>
        <v>3904723.48513387</v>
      </c>
      <c r="I38" s="14">
        <f t="shared" si="4"/>
        <v>0</v>
      </c>
      <c r="J38" s="14">
        <f t="shared" si="5"/>
        <v>22499.6979033115</v>
      </c>
      <c r="K38" s="14">
        <f>SUM(I38:I49)</f>
        <v>0</v>
      </c>
    </row>
    <row r="39" ht="15.75" customHeight="1" spans="2:11">
      <c r="B39" s="2">
        <f t="shared" si="6"/>
        <v>14</v>
      </c>
      <c r="C39" s="17">
        <v>44531</v>
      </c>
      <c r="D39" s="14">
        <f t="shared" si="7"/>
        <v>3904723.48513387</v>
      </c>
      <c r="E39" s="14">
        <f t="shared" si="0"/>
        <v>22499.6979033115</v>
      </c>
      <c r="F39" s="14">
        <f t="shared" si="1"/>
        <v>17896.6493068635</v>
      </c>
      <c r="G39" s="14">
        <f t="shared" si="2"/>
        <v>4603.04859644797</v>
      </c>
      <c r="H39" s="14">
        <f t="shared" si="3"/>
        <v>3900120.43653742</v>
      </c>
      <c r="I39" s="14">
        <f t="shared" si="4"/>
        <v>0</v>
      </c>
      <c r="J39" s="14">
        <f t="shared" si="5"/>
        <v>22499.6979033115</v>
      </c>
      <c r="K39" s="18"/>
    </row>
    <row r="40" ht="15.75" customHeight="1" spans="2:11">
      <c r="B40" s="2">
        <f t="shared" si="6"/>
        <v>15</v>
      </c>
      <c r="C40" s="17">
        <v>44562</v>
      </c>
      <c r="D40" s="14">
        <f t="shared" si="7"/>
        <v>3900120.43653742</v>
      </c>
      <c r="E40" s="14">
        <f t="shared" si="0"/>
        <v>22499.6979033115</v>
      </c>
      <c r="F40" s="14">
        <f t="shared" si="1"/>
        <v>17875.5520007965</v>
      </c>
      <c r="G40" s="14">
        <f t="shared" si="2"/>
        <v>4624.14590251502</v>
      </c>
      <c r="H40" s="14">
        <f t="shared" si="3"/>
        <v>3895496.2906349</v>
      </c>
      <c r="I40" s="14">
        <f t="shared" si="4"/>
        <v>0</v>
      </c>
      <c r="J40" s="14">
        <f t="shared" si="5"/>
        <v>22499.6979033115</v>
      </c>
      <c r="K40" s="18"/>
    </row>
    <row r="41" ht="15.75" customHeight="1" spans="2:11">
      <c r="B41" s="2">
        <f t="shared" si="6"/>
        <v>16</v>
      </c>
      <c r="C41" s="17">
        <v>44593</v>
      </c>
      <c r="D41" s="14">
        <f t="shared" si="7"/>
        <v>3895496.2906349</v>
      </c>
      <c r="E41" s="14">
        <f t="shared" si="0"/>
        <v>22499.6979033115</v>
      </c>
      <c r="F41" s="14">
        <f t="shared" si="1"/>
        <v>17854.3579987433</v>
      </c>
      <c r="G41" s="14">
        <f t="shared" si="2"/>
        <v>4645.33990456822</v>
      </c>
      <c r="H41" s="14">
        <f t="shared" si="3"/>
        <v>3890850.95073034</v>
      </c>
      <c r="I41" s="14">
        <f t="shared" si="4"/>
        <v>0</v>
      </c>
      <c r="J41" s="14">
        <f t="shared" si="5"/>
        <v>22499.6979033115</v>
      </c>
      <c r="K41" s="18"/>
    </row>
    <row r="42" ht="15.75" customHeight="1" spans="2:11">
      <c r="B42" s="2">
        <f t="shared" si="6"/>
        <v>17</v>
      </c>
      <c r="C42" s="17">
        <v>44621</v>
      </c>
      <c r="D42" s="14">
        <f t="shared" si="7"/>
        <v>3890850.95073034</v>
      </c>
      <c r="E42" s="14">
        <f t="shared" si="0"/>
        <v>22499.6979033115</v>
      </c>
      <c r="F42" s="14">
        <f t="shared" si="1"/>
        <v>17833.066857514</v>
      </c>
      <c r="G42" s="14">
        <f t="shared" si="2"/>
        <v>4666.63104579749</v>
      </c>
      <c r="H42" s="14">
        <f t="shared" si="3"/>
        <v>3886184.31968454</v>
      </c>
      <c r="I42" s="14">
        <f t="shared" si="4"/>
        <v>0</v>
      </c>
      <c r="J42" s="14">
        <f t="shared" si="5"/>
        <v>22499.6979033115</v>
      </c>
      <c r="K42" s="18"/>
    </row>
    <row r="43" ht="15.75" customHeight="1" spans="2:11">
      <c r="B43" s="2">
        <f t="shared" si="6"/>
        <v>18</v>
      </c>
      <c r="C43" s="17">
        <v>44652</v>
      </c>
      <c r="D43" s="14">
        <f t="shared" si="7"/>
        <v>3886184.31968454</v>
      </c>
      <c r="E43" s="14">
        <f t="shared" si="0"/>
        <v>22499.6979033115</v>
      </c>
      <c r="F43" s="14">
        <f t="shared" si="1"/>
        <v>17811.6781318875</v>
      </c>
      <c r="G43" s="14">
        <f t="shared" si="2"/>
        <v>4688.01977142406</v>
      </c>
      <c r="H43" s="14">
        <f t="shared" si="3"/>
        <v>3881496.29991312</v>
      </c>
      <c r="I43" s="14">
        <f t="shared" si="4"/>
        <v>0</v>
      </c>
      <c r="J43" s="14">
        <f t="shared" si="5"/>
        <v>22499.6979033115</v>
      </c>
      <c r="K43" s="18"/>
    </row>
    <row r="44" ht="15.75" customHeight="1" spans="2:11">
      <c r="B44" s="2">
        <f t="shared" si="6"/>
        <v>19</v>
      </c>
      <c r="C44" s="17">
        <v>44682</v>
      </c>
      <c r="D44" s="14">
        <f t="shared" si="7"/>
        <v>3881496.29991312</v>
      </c>
      <c r="E44" s="14">
        <f t="shared" si="0"/>
        <v>22499.6979033115</v>
      </c>
      <c r="F44" s="14">
        <f t="shared" si="1"/>
        <v>17790.1913746018</v>
      </c>
      <c r="G44" s="14">
        <f t="shared" si="2"/>
        <v>4709.50652870975</v>
      </c>
      <c r="H44" s="14">
        <f t="shared" si="3"/>
        <v>3876786.79338441</v>
      </c>
      <c r="I44" s="14">
        <f t="shared" si="4"/>
        <v>0</v>
      </c>
      <c r="J44" s="14">
        <f t="shared" si="5"/>
        <v>22499.6979033115</v>
      </c>
      <c r="K44" s="18"/>
    </row>
    <row r="45" ht="15.75" customHeight="1" spans="2:11">
      <c r="B45" s="2">
        <f t="shared" si="6"/>
        <v>20</v>
      </c>
      <c r="C45" s="17">
        <v>44713</v>
      </c>
      <c r="D45" s="14">
        <f t="shared" si="7"/>
        <v>3876786.79338441</v>
      </c>
      <c r="E45" s="14">
        <f t="shared" si="0"/>
        <v>22499.6979033115</v>
      </c>
      <c r="F45" s="14">
        <f t="shared" si="1"/>
        <v>17768.6061363452</v>
      </c>
      <c r="G45" s="14">
        <f t="shared" si="2"/>
        <v>4731.09176696634</v>
      </c>
      <c r="H45" s="14">
        <f t="shared" si="3"/>
        <v>3872055.70161744</v>
      </c>
      <c r="I45" s="14">
        <f t="shared" si="4"/>
        <v>0</v>
      </c>
      <c r="J45" s="14">
        <f t="shared" si="5"/>
        <v>22499.6979033115</v>
      </c>
      <c r="K45" s="18"/>
    </row>
    <row r="46" ht="15.75" customHeight="1" spans="2:11">
      <c r="B46" s="2">
        <f t="shared" si="6"/>
        <v>21</v>
      </c>
      <c r="C46" s="17">
        <v>44743</v>
      </c>
      <c r="D46" s="14">
        <f t="shared" si="7"/>
        <v>3872055.70161744</v>
      </c>
      <c r="E46" s="14">
        <f t="shared" si="0"/>
        <v>22499.6979033115</v>
      </c>
      <c r="F46" s="14">
        <f t="shared" si="1"/>
        <v>17746.9219657466</v>
      </c>
      <c r="G46" s="14">
        <f t="shared" si="2"/>
        <v>4752.77593756493</v>
      </c>
      <c r="H46" s="14">
        <f t="shared" si="3"/>
        <v>3867302.92567987</v>
      </c>
      <c r="I46" s="14">
        <f t="shared" si="4"/>
        <v>0</v>
      </c>
      <c r="J46" s="14">
        <f t="shared" si="5"/>
        <v>22499.6979033115</v>
      </c>
      <c r="K46" s="18"/>
    </row>
    <row r="47" ht="15.75" customHeight="1" spans="2:11">
      <c r="B47" s="2">
        <f t="shared" si="6"/>
        <v>22</v>
      </c>
      <c r="C47" s="17">
        <v>44774</v>
      </c>
      <c r="D47" s="14">
        <f t="shared" si="7"/>
        <v>3867302.92567987</v>
      </c>
      <c r="E47" s="14">
        <f t="shared" si="0"/>
        <v>22499.6979033115</v>
      </c>
      <c r="F47" s="14">
        <f t="shared" si="1"/>
        <v>17725.1384093661</v>
      </c>
      <c r="G47" s="14">
        <f t="shared" si="2"/>
        <v>4774.55949394544</v>
      </c>
      <c r="H47" s="14">
        <f t="shared" si="3"/>
        <v>3862528.36618593</v>
      </c>
      <c r="I47" s="14">
        <f t="shared" si="4"/>
        <v>0</v>
      </c>
      <c r="J47" s="14">
        <f t="shared" si="5"/>
        <v>22499.6979033115</v>
      </c>
      <c r="K47" s="18"/>
    </row>
    <row r="48" ht="15.75" customHeight="1" spans="2:11">
      <c r="B48" s="2">
        <f t="shared" si="6"/>
        <v>23</v>
      </c>
      <c r="C48" s="17">
        <v>44805</v>
      </c>
      <c r="D48" s="14">
        <f t="shared" si="7"/>
        <v>3862528.36618593</v>
      </c>
      <c r="E48" s="14">
        <f t="shared" si="0"/>
        <v>22499.6979033115</v>
      </c>
      <c r="F48" s="14">
        <f t="shared" si="1"/>
        <v>17703.2550116855</v>
      </c>
      <c r="G48" s="14">
        <f t="shared" si="2"/>
        <v>4796.44289162602</v>
      </c>
      <c r="H48" s="14">
        <f t="shared" si="3"/>
        <v>3857731.9232943</v>
      </c>
      <c r="I48" s="14">
        <f t="shared" si="4"/>
        <v>0</v>
      </c>
      <c r="J48" s="14">
        <f t="shared" si="5"/>
        <v>22499.6979033115</v>
      </c>
      <c r="K48" s="18"/>
    </row>
    <row r="49" ht="15.75" customHeight="1" spans="1:26">
      <c r="B49" s="2">
        <f t="shared" si="6"/>
        <v>24</v>
      </c>
      <c r="C49" s="17">
        <v>44835</v>
      </c>
      <c r="D49" s="14">
        <f t="shared" si="7"/>
        <v>3857731.9232943</v>
      </c>
      <c r="E49" s="14">
        <f t="shared" si="0"/>
        <v>22499.6979033115</v>
      </c>
      <c r="F49" s="14">
        <f t="shared" si="1"/>
        <v>17681.2713150989</v>
      </c>
      <c r="G49" s="14">
        <f t="shared" si="2"/>
        <v>4818.42658821264</v>
      </c>
      <c r="H49" s="14">
        <f t="shared" si="3"/>
        <v>3852913.49670609</v>
      </c>
      <c r="I49" s="14">
        <f t="shared" si="4"/>
        <v>0</v>
      </c>
      <c r="J49" s="14">
        <f t="shared" si="5"/>
        <v>22499.6979033115</v>
      </c>
      <c r="K49" s="18"/>
    </row>
    <row r="50" ht="15.75" customHeight="1" spans="1:26">
      <c r="B50" s="2">
        <f t="shared" si="6"/>
        <v>25</v>
      </c>
      <c r="C50" s="17">
        <v>44866</v>
      </c>
      <c r="D50" s="14">
        <f t="shared" si="7"/>
        <v>3852913.49670609</v>
      </c>
      <c r="E50" s="14">
        <f t="shared" si="0"/>
        <v>22499.6979033115</v>
      </c>
      <c r="F50" s="14">
        <f t="shared" si="1"/>
        <v>17659.1868599029</v>
      </c>
      <c r="G50" s="14">
        <f t="shared" si="2"/>
        <v>4840.51104340862</v>
      </c>
      <c r="H50" s="14">
        <f t="shared" si="3"/>
        <v>3848072.98566268</v>
      </c>
      <c r="I50" s="14">
        <f t="shared" si="4"/>
        <v>0</v>
      </c>
      <c r="J50" s="14">
        <f t="shared" si="5"/>
        <v>22499.6979033115</v>
      </c>
      <c r="K50" s="14">
        <f>SUM(I50:I61)</f>
        <v>0</v>
      </c>
    </row>
    <row r="51" ht="15.75" customHeight="1" spans="1:26">
      <c r="A51" s="19"/>
      <c r="B51" s="19">
        <f t="shared" si="6"/>
        <v>26</v>
      </c>
      <c r="C51" s="20">
        <v>44896</v>
      </c>
      <c r="D51" s="21">
        <f t="shared" si="7"/>
        <v>3848072.98566268</v>
      </c>
      <c r="E51" s="21">
        <f t="shared" si="0"/>
        <v>22499.6979033115</v>
      </c>
      <c r="F51" s="21">
        <f t="shared" si="1"/>
        <v>17637.0011842873</v>
      </c>
      <c r="G51" s="21">
        <f t="shared" si="2"/>
        <v>4862.69671902424</v>
      </c>
      <c r="H51" s="21">
        <f t="shared" si="3"/>
        <v>3843210.28894366</v>
      </c>
      <c r="I51" s="21">
        <f t="shared" si="4"/>
        <v>0</v>
      </c>
      <c r="J51" s="21">
        <f t="shared" si="5"/>
        <v>22499.6979033115</v>
      </c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 spans="1:26">
      <c r="B52" s="2">
        <f t="shared" si="6"/>
        <v>27</v>
      </c>
      <c r="C52" s="17">
        <v>44927</v>
      </c>
      <c r="D52" s="14">
        <f t="shared" si="7"/>
        <v>3843210.28894366</v>
      </c>
      <c r="E52" s="14">
        <f t="shared" si="0"/>
        <v>22499.6979033115</v>
      </c>
      <c r="F52" s="14">
        <f t="shared" si="1"/>
        <v>17614.7138243251</v>
      </c>
      <c r="G52" s="14">
        <f t="shared" si="2"/>
        <v>4884.98407898644</v>
      </c>
      <c r="H52" s="14">
        <f t="shared" si="3"/>
        <v>3838325.30486467</v>
      </c>
      <c r="I52" s="14">
        <f t="shared" si="4"/>
        <v>0</v>
      </c>
      <c r="J52" s="14">
        <f t="shared" si="5"/>
        <v>22499.6979033115</v>
      </c>
      <c r="K52" s="18"/>
    </row>
    <row r="53" ht="15.75" customHeight="1" spans="1:26">
      <c r="B53" s="2">
        <f t="shared" si="6"/>
        <v>28</v>
      </c>
      <c r="C53" s="17">
        <v>44958</v>
      </c>
      <c r="D53" s="14">
        <f t="shared" si="7"/>
        <v>3838325.30486467</v>
      </c>
      <c r="E53" s="14">
        <f t="shared" si="0"/>
        <v>22499.6979033115</v>
      </c>
      <c r="F53" s="14">
        <f t="shared" si="1"/>
        <v>17592.3243139631</v>
      </c>
      <c r="G53" s="14">
        <f t="shared" si="2"/>
        <v>4907.37358934846</v>
      </c>
      <c r="H53" s="14">
        <f t="shared" si="3"/>
        <v>3833417.93127532</v>
      </c>
      <c r="I53" s="14">
        <f t="shared" si="4"/>
        <v>0</v>
      </c>
      <c r="J53" s="14">
        <f t="shared" si="5"/>
        <v>22499.6979033115</v>
      </c>
      <c r="K53" s="18"/>
    </row>
    <row r="54" ht="15.75" customHeight="1" spans="1:26">
      <c r="B54" s="2">
        <f t="shared" si="6"/>
        <v>29</v>
      </c>
      <c r="C54" s="17">
        <v>44986</v>
      </c>
      <c r="D54" s="14">
        <f t="shared" si="7"/>
        <v>3833417.93127532</v>
      </c>
      <c r="E54" s="14">
        <f t="shared" si="0"/>
        <v>22499.6979033115</v>
      </c>
      <c r="F54" s="14">
        <f t="shared" si="1"/>
        <v>17569.8321850119</v>
      </c>
      <c r="G54" s="14">
        <f t="shared" si="2"/>
        <v>4929.86571829964</v>
      </c>
      <c r="H54" s="14">
        <f t="shared" si="3"/>
        <v>3828488.06555702</v>
      </c>
      <c r="I54" s="14">
        <f t="shared" si="4"/>
        <v>0</v>
      </c>
      <c r="J54" s="14">
        <f t="shared" si="5"/>
        <v>22499.6979033115</v>
      </c>
      <c r="K54" s="18"/>
    </row>
    <row r="55" ht="15.75" customHeight="1" spans="1:26">
      <c r="B55" s="2">
        <f t="shared" si="6"/>
        <v>30</v>
      </c>
      <c r="C55" s="17">
        <v>45017</v>
      </c>
      <c r="D55" s="14">
        <f t="shared" si="7"/>
        <v>3828488.06555702</v>
      </c>
      <c r="E55" s="14">
        <f t="shared" si="0"/>
        <v>22499.6979033115</v>
      </c>
      <c r="F55" s="14">
        <f t="shared" si="1"/>
        <v>17547.2369671363</v>
      </c>
      <c r="G55" s="14">
        <f t="shared" si="2"/>
        <v>4952.46093617518</v>
      </c>
      <c r="H55" s="14">
        <f t="shared" si="3"/>
        <v>3823535.60462085</v>
      </c>
      <c r="I55" s="14">
        <f t="shared" si="4"/>
        <v>0</v>
      </c>
      <c r="J55" s="14">
        <f t="shared" si="5"/>
        <v>22499.6979033115</v>
      </c>
      <c r="K55" s="18"/>
    </row>
    <row r="56" ht="15.75" customHeight="1" spans="1:26">
      <c r="B56" s="2">
        <f t="shared" si="6"/>
        <v>31</v>
      </c>
      <c r="C56" s="17">
        <v>45047</v>
      </c>
      <c r="D56" s="14">
        <f t="shared" si="7"/>
        <v>3823535.60462085</v>
      </c>
      <c r="E56" s="14">
        <f t="shared" si="0"/>
        <v>22499.6979033115</v>
      </c>
      <c r="F56" s="14">
        <f t="shared" si="1"/>
        <v>17524.5381878455</v>
      </c>
      <c r="G56" s="14">
        <f t="shared" si="2"/>
        <v>4975.15971546598</v>
      </c>
      <c r="H56" s="14">
        <f t="shared" si="3"/>
        <v>3818560.44490538</v>
      </c>
      <c r="I56" s="14">
        <f t="shared" si="4"/>
        <v>0</v>
      </c>
      <c r="J56" s="14">
        <f t="shared" si="5"/>
        <v>22499.6979033115</v>
      </c>
      <c r="K56" s="18"/>
    </row>
    <row r="57" ht="15.75" customHeight="1" spans="1:26">
      <c r="B57" s="2">
        <f t="shared" si="6"/>
        <v>32</v>
      </c>
      <c r="C57" s="17">
        <v>45078</v>
      </c>
      <c r="D57" s="14">
        <f t="shared" si="7"/>
        <v>3818560.44490538</v>
      </c>
      <c r="E57" s="14">
        <f t="shared" si="0"/>
        <v>22499.6979033115</v>
      </c>
      <c r="F57" s="14">
        <f t="shared" si="1"/>
        <v>17501.735372483</v>
      </c>
      <c r="G57" s="14">
        <f t="shared" si="2"/>
        <v>4997.96253082853</v>
      </c>
      <c r="H57" s="14">
        <f t="shared" si="3"/>
        <v>3813562.48237455</v>
      </c>
      <c r="I57" s="14">
        <f t="shared" si="4"/>
        <v>0</v>
      </c>
      <c r="J57" s="14">
        <f t="shared" si="5"/>
        <v>22499.6979033115</v>
      </c>
      <c r="K57" s="18"/>
    </row>
    <row r="58" ht="15.75" customHeight="1" spans="1:26">
      <c r="B58" s="2">
        <f t="shared" si="6"/>
        <v>33</v>
      </c>
      <c r="C58" s="17">
        <v>45108</v>
      </c>
      <c r="D58" s="14">
        <f t="shared" si="7"/>
        <v>3813562.48237455</v>
      </c>
      <c r="E58" s="14">
        <f t="shared" si="0"/>
        <v>22499.6979033115</v>
      </c>
      <c r="F58" s="14">
        <f t="shared" si="1"/>
        <v>17478.8280442167</v>
      </c>
      <c r="G58" s="14">
        <f t="shared" si="2"/>
        <v>5020.86985909483</v>
      </c>
      <c r="H58" s="14">
        <f t="shared" si="3"/>
        <v>3808541.61251546</v>
      </c>
      <c r="I58" s="14">
        <f t="shared" si="4"/>
        <v>0</v>
      </c>
      <c r="J58" s="14">
        <f t="shared" si="5"/>
        <v>22499.6979033115</v>
      </c>
      <c r="K58" s="18"/>
    </row>
    <row r="59" ht="15.75" customHeight="1" spans="1:26">
      <c r="B59" s="2">
        <f t="shared" si="6"/>
        <v>34</v>
      </c>
      <c r="C59" s="17">
        <v>45139</v>
      </c>
      <c r="D59" s="14">
        <f t="shared" si="7"/>
        <v>3808541.61251546</v>
      </c>
      <c r="E59" s="14">
        <f t="shared" si="0"/>
        <v>22499.6979033115</v>
      </c>
      <c r="F59" s="14">
        <f t="shared" si="1"/>
        <v>17455.8157240292</v>
      </c>
      <c r="G59" s="14">
        <f t="shared" si="2"/>
        <v>5043.88217928235</v>
      </c>
      <c r="H59" s="14">
        <f t="shared" si="3"/>
        <v>3803497.73033618</v>
      </c>
      <c r="I59" s="14">
        <f t="shared" si="4"/>
        <v>0</v>
      </c>
      <c r="J59" s="14">
        <f t="shared" si="5"/>
        <v>22499.6979033115</v>
      </c>
      <c r="K59" s="18"/>
    </row>
    <row r="60" ht="15.75" customHeight="1" spans="1:26">
      <c r="B60" s="2">
        <f t="shared" si="6"/>
        <v>35</v>
      </c>
      <c r="C60" s="17">
        <v>45170</v>
      </c>
      <c r="D60" s="14">
        <f t="shared" si="7"/>
        <v>3803497.73033618</v>
      </c>
      <c r="E60" s="14">
        <f t="shared" si="0"/>
        <v>22499.6979033115</v>
      </c>
      <c r="F60" s="14">
        <f t="shared" si="1"/>
        <v>17432.6979307075</v>
      </c>
      <c r="G60" s="14">
        <f t="shared" si="2"/>
        <v>5066.99997260406</v>
      </c>
      <c r="H60" s="14">
        <f t="shared" si="3"/>
        <v>3798430.73036357</v>
      </c>
      <c r="I60" s="14">
        <f t="shared" si="4"/>
        <v>0</v>
      </c>
      <c r="J60" s="14">
        <f t="shared" si="5"/>
        <v>22499.6979033115</v>
      </c>
      <c r="K60" s="18"/>
    </row>
    <row r="61" ht="15.75" customHeight="1" spans="1:26">
      <c r="B61" s="2">
        <f t="shared" si="6"/>
        <v>36</v>
      </c>
      <c r="C61" s="17">
        <v>45200</v>
      </c>
      <c r="D61" s="14">
        <f t="shared" si="7"/>
        <v>3798430.73036357</v>
      </c>
      <c r="E61" s="14">
        <f t="shared" si="0"/>
        <v>22499.6979033115</v>
      </c>
      <c r="F61" s="14">
        <f t="shared" si="1"/>
        <v>17409.474180833</v>
      </c>
      <c r="G61" s="14">
        <f t="shared" si="2"/>
        <v>5090.22372247849</v>
      </c>
      <c r="H61" s="14">
        <f t="shared" si="3"/>
        <v>3793340.50664109</v>
      </c>
      <c r="I61" s="14">
        <f t="shared" si="4"/>
        <v>0</v>
      </c>
      <c r="J61" s="14">
        <f t="shared" si="5"/>
        <v>22499.6979033115</v>
      </c>
      <c r="K61" s="18"/>
    </row>
    <row r="62" ht="15.75" customHeight="1" spans="1:26">
      <c r="B62" s="2">
        <f t="shared" si="6"/>
        <v>37</v>
      </c>
      <c r="C62" s="17">
        <v>45231</v>
      </c>
      <c r="D62" s="14">
        <f t="shared" si="7"/>
        <v>3793340.50664109</v>
      </c>
      <c r="E62" s="14">
        <f t="shared" si="0"/>
        <v>22499.6979033115</v>
      </c>
      <c r="F62" s="14">
        <f t="shared" si="1"/>
        <v>17386.1439887717</v>
      </c>
      <c r="G62" s="14">
        <f t="shared" si="2"/>
        <v>5113.55391453985</v>
      </c>
      <c r="H62" s="14">
        <f t="shared" si="3"/>
        <v>3788226.95272655</v>
      </c>
      <c r="I62" s="14">
        <f t="shared" si="4"/>
        <v>0</v>
      </c>
      <c r="J62" s="14">
        <f t="shared" si="5"/>
        <v>22499.6979033115</v>
      </c>
      <c r="K62" s="14">
        <f>SUM(I62:I73)</f>
        <v>0</v>
      </c>
    </row>
    <row r="63" ht="15.75" customHeight="1" spans="1:26">
      <c r="B63" s="2">
        <f t="shared" si="6"/>
        <v>38</v>
      </c>
      <c r="C63" s="17">
        <v>45261</v>
      </c>
      <c r="D63" s="14">
        <f t="shared" si="7"/>
        <v>3788226.95272655</v>
      </c>
      <c r="E63" s="14">
        <f t="shared" si="0"/>
        <v>22499.6979033115</v>
      </c>
      <c r="F63" s="14">
        <f t="shared" si="1"/>
        <v>17362.7068666634</v>
      </c>
      <c r="G63" s="14">
        <f t="shared" si="2"/>
        <v>5136.99103664816</v>
      </c>
      <c r="H63" s="14">
        <f t="shared" si="3"/>
        <v>3783089.96168991</v>
      </c>
      <c r="I63" s="14">
        <f t="shared" si="4"/>
        <v>0</v>
      </c>
      <c r="J63" s="14">
        <f t="shared" si="5"/>
        <v>22499.6979033115</v>
      </c>
      <c r="K63" s="18"/>
    </row>
    <row r="64" ht="15.75" customHeight="1" spans="1:26">
      <c r="B64" s="2">
        <f t="shared" si="6"/>
        <v>39</v>
      </c>
      <c r="C64" s="17">
        <v>45292</v>
      </c>
      <c r="D64" s="14">
        <f t="shared" si="7"/>
        <v>3783089.96168991</v>
      </c>
      <c r="E64" s="14">
        <f t="shared" si="0"/>
        <v>22499.6979033115</v>
      </c>
      <c r="F64" s="14">
        <f t="shared" si="1"/>
        <v>17339.1623244121</v>
      </c>
      <c r="G64" s="14">
        <f t="shared" si="2"/>
        <v>5160.53557889946</v>
      </c>
      <c r="H64" s="14">
        <f t="shared" si="3"/>
        <v>3777929.42611101</v>
      </c>
      <c r="I64" s="14">
        <f t="shared" si="4"/>
        <v>0</v>
      </c>
      <c r="J64" s="14">
        <f t="shared" si="5"/>
        <v>22499.6979033115</v>
      </c>
      <c r="K64" s="18"/>
    </row>
    <row r="65" ht="15.75" customHeight="1" spans="2:11">
      <c r="B65" s="2">
        <f t="shared" si="6"/>
        <v>40</v>
      </c>
      <c r="C65" s="17">
        <v>45323</v>
      </c>
      <c r="D65" s="14">
        <f t="shared" si="7"/>
        <v>3777929.42611101</v>
      </c>
      <c r="E65" s="14">
        <f t="shared" si="0"/>
        <v>22499.6979033115</v>
      </c>
      <c r="F65" s="14">
        <f t="shared" si="1"/>
        <v>17315.5098696754</v>
      </c>
      <c r="G65" s="14">
        <f t="shared" si="2"/>
        <v>5184.18803363609</v>
      </c>
      <c r="H65" s="14">
        <f t="shared" si="3"/>
        <v>3772745.23807737</v>
      </c>
      <c r="I65" s="14">
        <f t="shared" si="4"/>
        <v>0</v>
      </c>
      <c r="J65" s="14">
        <f t="shared" si="5"/>
        <v>22499.6979033115</v>
      </c>
      <c r="K65" s="18"/>
    </row>
    <row r="66" ht="15.75" customHeight="1" spans="2:11">
      <c r="B66" s="2">
        <f t="shared" si="6"/>
        <v>41</v>
      </c>
      <c r="C66" s="17">
        <v>45352</v>
      </c>
      <c r="D66" s="14">
        <f t="shared" si="7"/>
        <v>3772745.23807737</v>
      </c>
      <c r="E66" s="14">
        <f t="shared" si="0"/>
        <v>22499.6979033115</v>
      </c>
      <c r="F66" s="14">
        <f t="shared" si="1"/>
        <v>17291.7490078546</v>
      </c>
      <c r="G66" s="14">
        <f t="shared" si="2"/>
        <v>5207.94889545692</v>
      </c>
      <c r="H66" s="14">
        <f t="shared" si="3"/>
        <v>3767537.28918191</v>
      </c>
      <c r="I66" s="14">
        <f t="shared" si="4"/>
        <v>0</v>
      </c>
      <c r="J66" s="14">
        <f t="shared" si="5"/>
        <v>22499.6979033115</v>
      </c>
      <c r="K66" s="18"/>
    </row>
    <row r="67" ht="15.75" customHeight="1" spans="2:11">
      <c r="B67" s="2">
        <f t="shared" si="6"/>
        <v>42</v>
      </c>
      <c r="C67" s="17">
        <v>45383</v>
      </c>
      <c r="D67" s="14">
        <f t="shared" si="7"/>
        <v>3767537.28918191</v>
      </c>
      <c r="E67" s="14">
        <f t="shared" si="0"/>
        <v>22499.6979033115</v>
      </c>
      <c r="F67" s="14">
        <f t="shared" si="1"/>
        <v>17267.8792420838</v>
      </c>
      <c r="G67" s="14">
        <f t="shared" si="2"/>
        <v>5231.81866122776</v>
      </c>
      <c r="H67" s="14">
        <f t="shared" si="3"/>
        <v>3762305.47052068</v>
      </c>
      <c r="I67" s="14">
        <f t="shared" si="4"/>
        <v>0</v>
      </c>
      <c r="J67" s="14">
        <f t="shared" si="5"/>
        <v>22499.6979033115</v>
      </c>
      <c r="K67" s="18"/>
    </row>
    <row r="68" ht="15.75" customHeight="1" spans="2:11">
      <c r="B68" s="2">
        <f t="shared" si="6"/>
        <v>43</v>
      </c>
      <c r="C68" s="17">
        <v>45413</v>
      </c>
      <c r="D68" s="14">
        <f t="shared" si="7"/>
        <v>3762305.47052068</v>
      </c>
      <c r="E68" s="14">
        <f t="shared" si="0"/>
        <v>22499.6979033115</v>
      </c>
      <c r="F68" s="14">
        <f t="shared" si="1"/>
        <v>17243.9000732198</v>
      </c>
      <c r="G68" s="14">
        <f t="shared" si="2"/>
        <v>5255.79783009172</v>
      </c>
      <c r="H68" s="14">
        <f t="shared" si="3"/>
        <v>3757049.67269059</v>
      </c>
      <c r="I68" s="14">
        <f t="shared" si="4"/>
        <v>0</v>
      </c>
      <c r="J68" s="14">
        <f t="shared" si="5"/>
        <v>22499.6979033115</v>
      </c>
      <c r="K68" s="18"/>
    </row>
    <row r="69" ht="15.75" customHeight="1" spans="2:11">
      <c r="B69" s="2">
        <f t="shared" si="6"/>
        <v>44</v>
      </c>
      <c r="C69" s="17">
        <v>45444</v>
      </c>
      <c r="D69" s="14">
        <f t="shared" si="7"/>
        <v>3757049.67269059</v>
      </c>
      <c r="E69" s="14">
        <f t="shared" si="0"/>
        <v>22499.6979033115</v>
      </c>
      <c r="F69" s="14">
        <f t="shared" si="1"/>
        <v>17219.8109998319</v>
      </c>
      <c r="G69" s="14">
        <f t="shared" si="2"/>
        <v>5279.88690347964</v>
      </c>
      <c r="H69" s="14">
        <f t="shared" si="3"/>
        <v>3751769.78578711</v>
      </c>
      <c r="I69" s="14">
        <f t="shared" si="4"/>
        <v>0</v>
      </c>
      <c r="J69" s="14">
        <f t="shared" si="5"/>
        <v>22499.6979033115</v>
      </c>
      <c r="K69" s="18"/>
    </row>
    <row r="70" ht="15.75" customHeight="1" spans="2:11">
      <c r="B70" s="2">
        <f t="shared" si="6"/>
        <v>45</v>
      </c>
      <c r="C70" s="17">
        <v>45474</v>
      </c>
      <c r="D70" s="14">
        <f t="shared" si="7"/>
        <v>3751769.78578711</v>
      </c>
      <c r="E70" s="14">
        <f t="shared" si="0"/>
        <v>22499.6979033115</v>
      </c>
      <c r="F70" s="14">
        <f t="shared" si="1"/>
        <v>17195.6115181909</v>
      </c>
      <c r="G70" s="14">
        <f t="shared" si="2"/>
        <v>5304.08638512059</v>
      </c>
      <c r="H70" s="14">
        <f t="shared" si="3"/>
        <v>3746465.69940199</v>
      </c>
      <c r="I70" s="14">
        <f t="shared" si="4"/>
        <v>0</v>
      </c>
      <c r="J70" s="14">
        <f t="shared" si="5"/>
        <v>22499.6979033115</v>
      </c>
      <c r="K70" s="18"/>
    </row>
    <row r="71" ht="15.75" customHeight="1" spans="2:11">
      <c r="B71" s="2">
        <f t="shared" si="6"/>
        <v>46</v>
      </c>
      <c r="C71" s="17">
        <v>45505</v>
      </c>
      <c r="D71" s="14">
        <f t="shared" si="7"/>
        <v>3746465.69940199</v>
      </c>
      <c r="E71" s="14">
        <f t="shared" si="0"/>
        <v>22499.6979033115</v>
      </c>
      <c r="F71" s="14">
        <f t="shared" si="1"/>
        <v>17171.3011222591</v>
      </c>
      <c r="G71" s="14">
        <f t="shared" si="2"/>
        <v>5328.3967810524</v>
      </c>
      <c r="H71" s="14">
        <f t="shared" si="3"/>
        <v>3741137.30262094</v>
      </c>
      <c r="I71" s="14">
        <f t="shared" si="4"/>
        <v>0</v>
      </c>
      <c r="J71" s="14">
        <f t="shared" si="5"/>
        <v>22499.6979033115</v>
      </c>
      <c r="K71" s="18"/>
    </row>
    <row r="72" ht="15.75" customHeight="1" spans="2:11">
      <c r="B72" s="2">
        <f t="shared" si="6"/>
        <v>47</v>
      </c>
      <c r="C72" s="17">
        <v>45536</v>
      </c>
      <c r="D72" s="14">
        <f t="shared" si="7"/>
        <v>3741137.30262094</v>
      </c>
      <c r="E72" s="14">
        <f t="shared" si="0"/>
        <v>22499.6979033115</v>
      </c>
      <c r="F72" s="14">
        <f t="shared" si="1"/>
        <v>17146.8793036793</v>
      </c>
      <c r="G72" s="14">
        <f t="shared" si="2"/>
        <v>5352.81859963222</v>
      </c>
      <c r="H72" s="14">
        <f t="shared" si="3"/>
        <v>3735784.48402131</v>
      </c>
      <c r="I72" s="14">
        <f t="shared" si="4"/>
        <v>0</v>
      </c>
      <c r="J72" s="14">
        <f t="shared" si="5"/>
        <v>22499.6979033115</v>
      </c>
      <c r="K72" s="18"/>
    </row>
    <row r="73" ht="15.75" customHeight="1" spans="2:11">
      <c r="B73" s="2">
        <f t="shared" si="6"/>
        <v>48</v>
      </c>
      <c r="C73" s="17">
        <v>45566</v>
      </c>
      <c r="D73" s="14">
        <f t="shared" si="7"/>
        <v>3735784.48402131</v>
      </c>
      <c r="E73" s="14">
        <f t="shared" si="0"/>
        <v>22499.6979033115</v>
      </c>
      <c r="F73" s="14">
        <f t="shared" si="1"/>
        <v>17122.3455517643</v>
      </c>
      <c r="G73" s="14">
        <f t="shared" si="2"/>
        <v>5377.3523515472</v>
      </c>
      <c r="H73" s="14">
        <f t="shared" si="3"/>
        <v>3730407.13166976</v>
      </c>
      <c r="I73" s="14">
        <f t="shared" si="4"/>
        <v>0</v>
      </c>
      <c r="J73" s="14">
        <f t="shared" si="5"/>
        <v>22499.6979033115</v>
      </c>
      <c r="K73" s="18"/>
    </row>
    <row r="74" ht="15.75" customHeight="1" spans="2:11">
      <c r="B74" s="2">
        <f t="shared" si="6"/>
        <v>49</v>
      </c>
      <c r="C74" s="17">
        <v>45597</v>
      </c>
      <c r="D74" s="14">
        <f t="shared" si="7"/>
        <v>3730407.13166976</v>
      </c>
      <c r="E74" s="14">
        <f t="shared" si="0"/>
        <v>22499.6979033115</v>
      </c>
      <c r="F74" s="14">
        <f t="shared" si="1"/>
        <v>17097.6993534864</v>
      </c>
      <c r="G74" s="14">
        <f t="shared" si="2"/>
        <v>5401.99854982512</v>
      </c>
      <c r="H74" s="14">
        <f t="shared" si="3"/>
        <v>3725005.13311994</v>
      </c>
      <c r="I74" s="14">
        <f t="shared" si="4"/>
        <v>0</v>
      </c>
      <c r="J74" s="14">
        <f t="shared" si="5"/>
        <v>22499.6979033115</v>
      </c>
      <c r="K74" s="14">
        <f>SUM(I74:I85)</f>
        <v>0</v>
      </c>
    </row>
    <row r="75" ht="15.75" customHeight="1" spans="2:11">
      <c r="B75" s="2">
        <f t="shared" si="6"/>
        <v>50</v>
      </c>
      <c r="C75" s="17">
        <v>45627</v>
      </c>
      <c r="D75" s="14">
        <f t="shared" si="7"/>
        <v>3725005.13311994</v>
      </c>
      <c r="E75" s="14">
        <f t="shared" si="0"/>
        <v>22499.6979033115</v>
      </c>
      <c r="F75" s="14">
        <f t="shared" si="1"/>
        <v>17072.9401934664</v>
      </c>
      <c r="G75" s="14">
        <f t="shared" si="2"/>
        <v>5426.75770984515</v>
      </c>
      <c r="H75" s="14">
        <f t="shared" si="3"/>
        <v>3719578.37541009</v>
      </c>
      <c r="I75" s="14">
        <f t="shared" si="4"/>
        <v>0</v>
      </c>
      <c r="J75" s="14">
        <f t="shared" si="5"/>
        <v>22499.6979033115</v>
      </c>
      <c r="K75" s="18"/>
    </row>
    <row r="76" ht="15.75" customHeight="1" spans="2:11">
      <c r="B76" s="2">
        <f t="shared" si="6"/>
        <v>51</v>
      </c>
      <c r="C76" s="17">
        <v>45658</v>
      </c>
      <c r="D76" s="14">
        <f t="shared" si="7"/>
        <v>3719578.37541009</v>
      </c>
      <c r="E76" s="14">
        <f t="shared" si="0"/>
        <v>22499.6979033115</v>
      </c>
      <c r="F76" s="14">
        <f t="shared" si="1"/>
        <v>17048.0675539629</v>
      </c>
      <c r="G76" s="14">
        <f t="shared" si="2"/>
        <v>5451.63034934861</v>
      </c>
      <c r="H76" s="14">
        <f t="shared" si="3"/>
        <v>3714126.74506074</v>
      </c>
      <c r="I76" s="14">
        <f t="shared" si="4"/>
        <v>0</v>
      </c>
      <c r="J76" s="14">
        <f t="shared" si="5"/>
        <v>22499.6979033115</v>
      </c>
      <c r="K76" s="18"/>
    </row>
    <row r="77" ht="15.75" customHeight="1" spans="2:11">
      <c r="B77" s="2">
        <f t="shared" si="6"/>
        <v>52</v>
      </c>
      <c r="C77" s="17">
        <v>45689</v>
      </c>
      <c r="D77" s="14">
        <f t="shared" si="7"/>
        <v>3714126.74506074</v>
      </c>
      <c r="E77" s="14">
        <f t="shared" si="0"/>
        <v>22499.6979033115</v>
      </c>
      <c r="F77" s="14">
        <f t="shared" si="1"/>
        <v>17023.0809148617</v>
      </c>
      <c r="G77" s="14">
        <f t="shared" si="2"/>
        <v>5476.61698844979</v>
      </c>
      <c r="H77" s="14">
        <f t="shared" si="3"/>
        <v>3708650.12807229</v>
      </c>
      <c r="I77" s="14">
        <f t="shared" si="4"/>
        <v>0</v>
      </c>
      <c r="J77" s="14">
        <f t="shared" si="5"/>
        <v>22499.6979033115</v>
      </c>
      <c r="K77" s="18"/>
    </row>
    <row r="78" ht="15.75" customHeight="1" spans="2:11">
      <c r="B78" s="2">
        <f t="shared" si="6"/>
        <v>53</v>
      </c>
      <c r="C78" s="17">
        <v>45717</v>
      </c>
      <c r="D78" s="14">
        <f t="shared" si="7"/>
        <v>3708650.12807229</v>
      </c>
      <c r="E78" s="14">
        <f t="shared" si="0"/>
        <v>22499.6979033115</v>
      </c>
      <c r="F78" s="14">
        <f t="shared" si="1"/>
        <v>16997.9797536647</v>
      </c>
      <c r="G78" s="14">
        <f t="shared" si="2"/>
        <v>5501.71814964685</v>
      </c>
      <c r="H78" s="14">
        <f t="shared" si="3"/>
        <v>3703148.40992265</v>
      </c>
      <c r="I78" s="14">
        <f t="shared" si="4"/>
        <v>0</v>
      </c>
      <c r="J78" s="14">
        <f t="shared" si="5"/>
        <v>22499.6979033115</v>
      </c>
      <c r="K78" s="18"/>
    </row>
    <row r="79" ht="15.75" customHeight="1" spans="2:11">
      <c r="B79" s="2">
        <f t="shared" si="6"/>
        <v>54</v>
      </c>
      <c r="C79" s="17">
        <v>45748</v>
      </c>
      <c r="D79" s="14">
        <f t="shared" si="7"/>
        <v>3703148.40992265</v>
      </c>
      <c r="E79" s="14">
        <f t="shared" si="0"/>
        <v>22499.6979033115</v>
      </c>
      <c r="F79" s="14">
        <f t="shared" si="1"/>
        <v>16972.7635454788</v>
      </c>
      <c r="G79" s="14">
        <f t="shared" si="2"/>
        <v>5526.93435783274</v>
      </c>
      <c r="H79" s="14">
        <f t="shared" si="3"/>
        <v>3697621.47556481</v>
      </c>
      <c r="I79" s="14">
        <f t="shared" si="4"/>
        <v>0</v>
      </c>
      <c r="J79" s="14">
        <f t="shared" si="5"/>
        <v>22499.6979033115</v>
      </c>
      <c r="K79" s="18"/>
    </row>
    <row r="80" ht="15.75" customHeight="1" spans="2:11">
      <c r="B80" s="2">
        <f t="shared" si="6"/>
        <v>55</v>
      </c>
      <c r="C80" s="17">
        <v>45778</v>
      </c>
      <c r="D80" s="14">
        <f t="shared" si="7"/>
        <v>3697621.47556481</v>
      </c>
      <c r="E80" s="14">
        <f t="shared" si="0"/>
        <v>22499.6979033115</v>
      </c>
      <c r="F80" s="14">
        <f t="shared" si="1"/>
        <v>16947.4317630054</v>
      </c>
      <c r="G80" s="14">
        <f t="shared" si="2"/>
        <v>5552.26614030614</v>
      </c>
      <c r="H80" s="14">
        <f t="shared" si="3"/>
        <v>3692069.20942451</v>
      </c>
      <c r="I80" s="14">
        <f t="shared" si="4"/>
        <v>0</v>
      </c>
      <c r="J80" s="14">
        <f t="shared" si="5"/>
        <v>22499.6979033115</v>
      </c>
      <c r="K80" s="18"/>
    </row>
    <row r="81" ht="15.75" customHeight="1" spans="2:11">
      <c r="B81" s="2">
        <f t="shared" si="6"/>
        <v>56</v>
      </c>
      <c r="C81" s="17">
        <v>45809</v>
      </c>
      <c r="D81" s="14">
        <f t="shared" si="7"/>
        <v>3692069.20942451</v>
      </c>
      <c r="E81" s="14">
        <f t="shared" si="0"/>
        <v>22499.6979033115</v>
      </c>
      <c r="F81" s="14">
        <f t="shared" si="1"/>
        <v>16921.983876529</v>
      </c>
      <c r="G81" s="14">
        <f t="shared" si="2"/>
        <v>5577.71402678254</v>
      </c>
      <c r="H81" s="14">
        <f t="shared" si="3"/>
        <v>3686491.49539772</v>
      </c>
      <c r="I81" s="14">
        <f t="shared" si="4"/>
        <v>0</v>
      </c>
      <c r="J81" s="14">
        <f t="shared" si="5"/>
        <v>22499.6979033115</v>
      </c>
      <c r="K81" s="18"/>
    </row>
    <row r="82" ht="15.75" customHeight="1" spans="2:11">
      <c r="B82" s="2">
        <f t="shared" si="6"/>
        <v>57</v>
      </c>
      <c r="C82" s="17">
        <v>45839</v>
      </c>
      <c r="D82" s="14">
        <f t="shared" si="7"/>
        <v>3686491.49539772</v>
      </c>
      <c r="E82" s="14">
        <f t="shared" si="0"/>
        <v>22499.6979033115</v>
      </c>
      <c r="F82" s="14">
        <f t="shared" si="1"/>
        <v>16896.4193539062</v>
      </c>
      <c r="G82" s="14">
        <f t="shared" si="2"/>
        <v>5603.2785494053</v>
      </c>
      <c r="H82" s="14">
        <f t="shared" si="3"/>
        <v>3680888.21684832</v>
      </c>
      <c r="I82" s="14">
        <f t="shared" si="4"/>
        <v>0</v>
      </c>
      <c r="J82" s="14">
        <f t="shared" si="5"/>
        <v>22499.6979033115</v>
      </c>
      <c r="K82" s="18"/>
    </row>
    <row r="83" ht="15.75" customHeight="1" spans="2:11">
      <c r="B83" s="2">
        <f t="shared" si="6"/>
        <v>58</v>
      </c>
      <c r="C83" s="17">
        <v>45870</v>
      </c>
      <c r="D83" s="14">
        <f t="shared" si="7"/>
        <v>3680888.21684832</v>
      </c>
      <c r="E83" s="14">
        <f t="shared" si="0"/>
        <v>22499.6979033115</v>
      </c>
      <c r="F83" s="14">
        <f t="shared" si="1"/>
        <v>16870.7376605548</v>
      </c>
      <c r="G83" s="14">
        <f t="shared" si="2"/>
        <v>5628.96024275673</v>
      </c>
      <c r="H83" s="14">
        <f t="shared" si="3"/>
        <v>3675259.25660556</v>
      </c>
      <c r="I83" s="14">
        <f t="shared" si="4"/>
        <v>0</v>
      </c>
      <c r="J83" s="14">
        <f t="shared" si="5"/>
        <v>22499.6979033115</v>
      </c>
      <c r="K83" s="18"/>
    </row>
    <row r="84" ht="15.75" customHeight="1" spans="2:11">
      <c r="B84" s="2">
        <f t="shared" si="6"/>
        <v>59</v>
      </c>
      <c r="C84" s="17">
        <v>45901</v>
      </c>
      <c r="D84" s="14">
        <f t="shared" si="7"/>
        <v>3675259.25660556</v>
      </c>
      <c r="E84" s="14">
        <f t="shared" si="0"/>
        <v>22499.6979033115</v>
      </c>
      <c r="F84" s="14">
        <f t="shared" si="1"/>
        <v>16844.9382594421</v>
      </c>
      <c r="G84" s="14">
        <f t="shared" si="2"/>
        <v>5654.75964386937</v>
      </c>
      <c r="H84" s="14">
        <f t="shared" si="3"/>
        <v>3669604.49696169</v>
      </c>
      <c r="I84" s="14">
        <f t="shared" si="4"/>
        <v>0</v>
      </c>
      <c r="J84" s="14">
        <f t="shared" si="5"/>
        <v>22499.6979033115</v>
      </c>
      <c r="K84" s="18"/>
    </row>
    <row r="85" ht="15.75" customHeight="1" spans="2:11">
      <c r="B85" s="2">
        <f t="shared" si="6"/>
        <v>60</v>
      </c>
      <c r="C85" s="17">
        <v>45931</v>
      </c>
      <c r="D85" s="14">
        <f t="shared" si="7"/>
        <v>3669604.49696169</v>
      </c>
      <c r="E85" s="14">
        <f t="shared" si="0"/>
        <v>22499.6979033115</v>
      </c>
      <c r="F85" s="14">
        <f t="shared" si="1"/>
        <v>16819.0206110744</v>
      </c>
      <c r="G85" s="14">
        <f t="shared" si="2"/>
        <v>5680.67729223711</v>
      </c>
      <c r="H85" s="14">
        <f t="shared" si="3"/>
        <v>3663923.81966946</v>
      </c>
      <c r="I85" s="14">
        <f t="shared" si="4"/>
        <v>0</v>
      </c>
      <c r="J85" s="14">
        <f t="shared" si="5"/>
        <v>22499.6979033115</v>
      </c>
      <c r="K85" s="18"/>
    </row>
    <row r="86" ht="15.75" customHeight="1" spans="2:11">
      <c r="B86" s="2">
        <f t="shared" si="6"/>
        <v>61</v>
      </c>
      <c r="C86" s="17">
        <v>45962</v>
      </c>
      <c r="D86" s="14">
        <f t="shared" si="7"/>
        <v>3663923.81966946</v>
      </c>
      <c r="E86" s="14">
        <f t="shared" si="0"/>
        <v>22499.6979033115</v>
      </c>
      <c r="F86" s="14">
        <f t="shared" si="1"/>
        <v>16792.984173485</v>
      </c>
      <c r="G86" s="14">
        <f t="shared" si="2"/>
        <v>5706.71372982652</v>
      </c>
      <c r="H86" s="14">
        <f t="shared" si="3"/>
        <v>3658217.10593963</v>
      </c>
      <c r="I86" s="14">
        <f t="shared" si="4"/>
        <v>0</v>
      </c>
      <c r="J86" s="14">
        <f t="shared" si="5"/>
        <v>22499.6979033115</v>
      </c>
      <c r="K86" s="14">
        <f>SUM(I86:I97)</f>
        <v>0</v>
      </c>
    </row>
    <row r="87" ht="15.75" customHeight="1" spans="2:11">
      <c r="B87" s="2">
        <f t="shared" si="6"/>
        <v>62</v>
      </c>
      <c r="C87" s="17">
        <v>45992</v>
      </c>
      <c r="D87" s="14">
        <f t="shared" si="7"/>
        <v>3658217.10593963</v>
      </c>
      <c r="E87" s="14">
        <f t="shared" si="0"/>
        <v>22499.6979033115</v>
      </c>
      <c r="F87" s="14">
        <f t="shared" si="1"/>
        <v>16766.8284022233</v>
      </c>
      <c r="G87" s="14">
        <f t="shared" si="2"/>
        <v>5732.86950108823</v>
      </c>
      <c r="H87" s="14">
        <f t="shared" si="3"/>
        <v>3652484.23643854</v>
      </c>
      <c r="I87" s="14">
        <f t="shared" si="4"/>
        <v>0</v>
      </c>
      <c r="J87" s="14">
        <f t="shared" si="5"/>
        <v>22499.6979033115</v>
      </c>
      <c r="K87" s="18"/>
    </row>
    <row r="88" ht="15.75" customHeight="1" spans="2:11">
      <c r="B88" s="2">
        <f t="shared" si="6"/>
        <v>63</v>
      </c>
      <c r="C88" s="17">
        <v>46023</v>
      </c>
      <c r="D88" s="14">
        <f t="shared" si="7"/>
        <v>3652484.23643854</v>
      </c>
      <c r="E88" s="14">
        <f t="shared" si="0"/>
        <v>22499.6979033115</v>
      </c>
      <c r="F88" s="14">
        <f t="shared" si="1"/>
        <v>16740.5527503433</v>
      </c>
      <c r="G88" s="14">
        <f t="shared" si="2"/>
        <v>5759.14515296822</v>
      </c>
      <c r="H88" s="14">
        <f t="shared" si="3"/>
        <v>3646725.09128557</v>
      </c>
      <c r="I88" s="14">
        <f t="shared" si="4"/>
        <v>0</v>
      </c>
      <c r="J88" s="14">
        <f t="shared" si="5"/>
        <v>22499.6979033115</v>
      </c>
      <c r="K88" s="18"/>
    </row>
    <row r="89" ht="15.75" customHeight="1" spans="2:11">
      <c r="B89" s="2">
        <f t="shared" si="6"/>
        <v>64</v>
      </c>
      <c r="C89" s="17">
        <v>46054</v>
      </c>
      <c r="D89" s="14">
        <f t="shared" si="7"/>
        <v>3646725.09128557</v>
      </c>
      <c r="E89" s="14">
        <f t="shared" si="0"/>
        <v>22499.6979033115</v>
      </c>
      <c r="F89" s="14">
        <f t="shared" si="1"/>
        <v>16714.1566683922</v>
      </c>
      <c r="G89" s="14">
        <f t="shared" si="2"/>
        <v>5785.54123491932</v>
      </c>
      <c r="H89" s="14">
        <f t="shared" si="3"/>
        <v>3640939.55005065</v>
      </c>
      <c r="I89" s="14">
        <f t="shared" si="4"/>
        <v>0</v>
      </c>
      <c r="J89" s="14">
        <f t="shared" si="5"/>
        <v>22499.6979033115</v>
      </c>
      <c r="K89" s="18"/>
    </row>
    <row r="90" ht="15.75" customHeight="1" spans="2:11">
      <c r="B90" s="2">
        <f t="shared" si="6"/>
        <v>65</v>
      </c>
      <c r="C90" s="17">
        <v>46082</v>
      </c>
      <c r="D90" s="14">
        <f t="shared" si="7"/>
        <v>3640939.55005065</v>
      </c>
      <c r="E90" s="14">
        <f t="shared" si="0"/>
        <v>22499.6979033115</v>
      </c>
      <c r="F90" s="14">
        <f t="shared" si="1"/>
        <v>16687.6396043988</v>
      </c>
      <c r="G90" s="14">
        <f t="shared" si="2"/>
        <v>5812.0582989127</v>
      </c>
      <c r="H90" s="14">
        <f t="shared" si="3"/>
        <v>3635127.49175174</v>
      </c>
      <c r="I90" s="14">
        <f t="shared" si="4"/>
        <v>0</v>
      </c>
      <c r="J90" s="14">
        <f t="shared" si="5"/>
        <v>22499.6979033115</v>
      </c>
      <c r="K90" s="18"/>
    </row>
    <row r="91" ht="15.75" customHeight="1" spans="2:11">
      <c r="B91" s="2">
        <f t="shared" si="6"/>
        <v>66</v>
      </c>
      <c r="C91" s="17">
        <v>46113</v>
      </c>
      <c r="D91" s="14">
        <f t="shared" si="7"/>
        <v>3635127.49175174</v>
      </c>
      <c r="E91" s="14">
        <f t="shared" si="0"/>
        <v>22499.6979033115</v>
      </c>
      <c r="F91" s="14">
        <f t="shared" si="1"/>
        <v>16661.0010038621</v>
      </c>
      <c r="G91" s="14">
        <f t="shared" si="2"/>
        <v>5838.69689944939</v>
      </c>
      <c r="H91" s="14">
        <f t="shared" si="3"/>
        <v>3629288.79485229</v>
      </c>
      <c r="I91" s="14">
        <f t="shared" si="4"/>
        <v>0</v>
      </c>
      <c r="J91" s="14">
        <f t="shared" si="5"/>
        <v>22499.6979033115</v>
      </c>
      <c r="K91" s="18"/>
    </row>
    <row r="92" ht="15.75" customHeight="1" spans="2:11">
      <c r="B92" s="2">
        <f t="shared" si="6"/>
        <v>67</v>
      </c>
      <c r="C92" s="17">
        <v>46143</v>
      </c>
      <c r="D92" s="14">
        <f t="shared" si="7"/>
        <v>3629288.79485229</v>
      </c>
      <c r="E92" s="14">
        <f t="shared" si="0"/>
        <v>22499.6979033115</v>
      </c>
      <c r="F92" s="14">
        <f t="shared" si="1"/>
        <v>16634.2403097397</v>
      </c>
      <c r="G92" s="14">
        <f t="shared" si="2"/>
        <v>5865.45759357186</v>
      </c>
      <c r="H92" s="14">
        <f t="shared" si="3"/>
        <v>3623423.33725872</v>
      </c>
      <c r="I92" s="14">
        <f t="shared" si="4"/>
        <v>0</v>
      </c>
      <c r="J92" s="14">
        <f t="shared" si="5"/>
        <v>22499.6979033115</v>
      </c>
      <c r="K92" s="18"/>
    </row>
    <row r="93" ht="15.75" customHeight="1" spans="2:11">
      <c r="B93" s="2">
        <f t="shared" si="6"/>
        <v>68</v>
      </c>
      <c r="C93" s="17">
        <v>46174</v>
      </c>
      <c r="D93" s="14">
        <f t="shared" si="7"/>
        <v>3623423.33725872</v>
      </c>
      <c r="E93" s="14">
        <f t="shared" si="0"/>
        <v>22499.6979033115</v>
      </c>
      <c r="F93" s="14">
        <f t="shared" si="1"/>
        <v>16607.3569624358</v>
      </c>
      <c r="G93" s="14">
        <f t="shared" si="2"/>
        <v>5892.34094087573</v>
      </c>
      <c r="H93" s="14">
        <f t="shared" si="3"/>
        <v>3617530.99631784</v>
      </c>
      <c r="I93" s="14">
        <f t="shared" si="4"/>
        <v>0</v>
      </c>
      <c r="J93" s="14">
        <f t="shared" si="5"/>
        <v>22499.6979033115</v>
      </c>
      <c r="K93" s="18"/>
    </row>
    <row r="94" ht="15.75" customHeight="1" spans="2:11">
      <c r="B94" s="2">
        <f t="shared" si="6"/>
        <v>69</v>
      </c>
      <c r="C94" s="17">
        <v>46204</v>
      </c>
      <c r="D94" s="14">
        <f t="shared" si="7"/>
        <v>3617530.99631784</v>
      </c>
      <c r="E94" s="14">
        <f t="shared" si="0"/>
        <v>22499.6979033115</v>
      </c>
      <c r="F94" s="14">
        <f t="shared" si="1"/>
        <v>16580.3503997901</v>
      </c>
      <c r="G94" s="14">
        <f t="shared" si="2"/>
        <v>5919.34750352141</v>
      </c>
      <c r="H94" s="14">
        <f t="shared" si="3"/>
        <v>3611611.64881432</v>
      </c>
      <c r="I94" s="14">
        <f t="shared" si="4"/>
        <v>0</v>
      </c>
      <c r="J94" s="14">
        <f t="shared" si="5"/>
        <v>22499.6979033115</v>
      </c>
      <c r="K94" s="18"/>
    </row>
    <row r="95" ht="15.75" customHeight="1" spans="2:11">
      <c r="B95" s="2">
        <f t="shared" si="6"/>
        <v>70</v>
      </c>
      <c r="C95" s="17">
        <v>46235</v>
      </c>
      <c r="D95" s="14">
        <f t="shared" si="7"/>
        <v>3611611.64881432</v>
      </c>
      <c r="E95" s="14">
        <f t="shared" si="0"/>
        <v>22499.6979033115</v>
      </c>
      <c r="F95" s="14">
        <f t="shared" si="1"/>
        <v>16553.2200570656</v>
      </c>
      <c r="G95" s="14">
        <f t="shared" si="2"/>
        <v>5946.47784624589</v>
      </c>
      <c r="H95" s="14">
        <f t="shared" si="3"/>
        <v>3605665.17096808</v>
      </c>
      <c r="I95" s="14">
        <f t="shared" si="4"/>
        <v>0</v>
      </c>
      <c r="J95" s="14">
        <f t="shared" si="5"/>
        <v>22499.6979033115</v>
      </c>
      <c r="K95" s="18"/>
    </row>
    <row r="96" ht="15.75" customHeight="1" spans="2:11">
      <c r="B96" s="2">
        <f t="shared" si="6"/>
        <v>71</v>
      </c>
      <c r="C96" s="17">
        <v>46266</v>
      </c>
      <c r="D96" s="14">
        <f t="shared" si="7"/>
        <v>3605665.17096808</v>
      </c>
      <c r="E96" s="14">
        <f t="shared" si="0"/>
        <v>22499.6979033115</v>
      </c>
      <c r="F96" s="14">
        <f t="shared" si="1"/>
        <v>16525.965366937</v>
      </c>
      <c r="G96" s="14">
        <f t="shared" si="2"/>
        <v>5973.73253637451</v>
      </c>
      <c r="H96" s="14">
        <f t="shared" si="3"/>
        <v>3599691.4384317</v>
      </c>
      <c r="I96" s="14">
        <f t="shared" si="4"/>
        <v>0</v>
      </c>
      <c r="J96" s="14">
        <f t="shared" si="5"/>
        <v>22499.6979033115</v>
      </c>
      <c r="K96" s="18"/>
    </row>
    <row r="97" ht="15.75" customHeight="1" spans="2:11">
      <c r="B97" s="2">
        <f t="shared" si="6"/>
        <v>72</v>
      </c>
      <c r="C97" s="17">
        <v>46296</v>
      </c>
      <c r="D97" s="14">
        <f t="shared" si="7"/>
        <v>3599691.4384317</v>
      </c>
      <c r="E97" s="14">
        <f t="shared" si="0"/>
        <v>22499.6979033115</v>
      </c>
      <c r="F97" s="14">
        <f t="shared" si="1"/>
        <v>16498.5857594786</v>
      </c>
      <c r="G97" s="14">
        <f t="shared" si="2"/>
        <v>6001.1121438329</v>
      </c>
      <c r="H97" s="14">
        <f t="shared" si="3"/>
        <v>3593690.32628787</v>
      </c>
      <c r="I97" s="14">
        <f t="shared" si="4"/>
        <v>0</v>
      </c>
      <c r="J97" s="14">
        <f t="shared" si="5"/>
        <v>22499.6979033115</v>
      </c>
      <c r="K97" s="18"/>
    </row>
    <row r="98" ht="15.75" customHeight="1" spans="2:11">
      <c r="B98" s="2">
        <f t="shared" si="6"/>
        <v>73</v>
      </c>
      <c r="C98" s="17">
        <v>46327</v>
      </c>
      <c r="D98" s="14">
        <f t="shared" si="7"/>
        <v>3593690.32628787</v>
      </c>
      <c r="E98" s="14">
        <f t="shared" si="0"/>
        <v>22499.6979033115</v>
      </c>
      <c r="F98" s="14">
        <f t="shared" si="1"/>
        <v>16471.0806621527</v>
      </c>
      <c r="G98" s="14">
        <f t="shared" si="2"/>
        <v>6028.6172411588</v>
      </c>
      <c r="H98" s="14">
        <f t="shared" si="3"/>
        <v>3587661.70904671</v>
      </c>
      <c r="I98" s="14">
        <f t="shared" si="4"/>
        <v>0</v>
      </c>
      <c r="J98" s="14">
        <f t="shared" si="5"/>
        <v>22499.6979033115</v>
      </c>
      <c r="K98" s="14">
        <f>SUM(I98:I109)</f>
        <v>0</v>
      </c>
    </row>
    <row r="99" ht="15.75" customHeight="1" spans="2:11">
      <c r="B99" s="2">
        <f t="shared" si="6"/>
        <v>74</v>
      </c>
      <c r="C99" s="17">
        <v>46357</v>
      </c>
      <c r="D99" s="14">
        <f t="shared" si="7"/>
        <v>3587661.70904671</v>
      </c>
      <c r="E99" s="14">
        <f t="shared" si="0"/>
        <v>22499.6979033115</v>
      </c>
      <c r="F99" s="14">
        <f t="shared" si="1"/>
        <v>16443.4494997974</v>
      </c>
      <c r="G99" s="14">
        <f t="shared" si="2"/>
        <v>6056.24840351411</v>
      </c>
      <c r="H99" s="14">
        <f t="shared" si="3"/>
        <v>3581605.4606432</v>
      </c>
      <c r="I99" s="14">
        <f t="shared" si="4"/>
        <v>0</v>
      </c>
      <c r="J99" s="14">
        <f t="shared" si="5"/>
        <v>22499.6979033115</v>
      </c>
      <c r="K99" s="18"/>
    </row>
    <row r="100" ht="15.75" customHeight="1" spans="2:11">
      <c r="B100" s="2">
        <f t="shared" si="6"/>
        <v>75</v>
      </c>
      <c r="C100" s="17">
        <v>46388</v>
      </c>
      <c r="D100" s="14">
        <f t="shared" si="7"/>
        <v>3581605.4606432</v>
      </c>
      <c r="E100" s="14">
        <f t="shared" si="0"/>
        <v>22499.6979033115</v>
      </c>
      <c r="F100" s="14">
        <f t="shared" si="1"/>
        <v>16415.6916946146</v>
      </c>
      <c r="G100" s="14">
        <f t="shared" si="2"/>
        <v>6084.00620869688</v>
      </c>
      <c r="H100" s="14">
        <f t="shared" si="3"/>
        <v>3575521.4544345</v>
      </c>
      <c r="I100" s="14">
        <f t="shared" si="4"/>
        <v>0</v>
      </c>
      <c r="J100" s="14">
        <f t="shared" si="5"/>
        <v>22499.6979033115</v>
      </c>
      <c r="K100" s="18"/>
    </row>
    <row r="101" ht="15.75" customHeight="1" spans="2:11">
      <c r="B101" s="2">
        <f t="shared" si="6"/>
        <v>76</v>
      </c>
      <c r="C101" s="17">
        <v>46419</v>
      </c>
      <c r="D101" s="14">
        <f t="shared" si="7"/>
        <v>3575521.4544345</v>
      </c>
      <c r="E101" s="14">
        <f t="shared" si="0"/>
        <v>22499.6979033115</v>
      </c>
      <c r="F101" s="14">
        <f t="shared" si="1"/>
        <v>16387.8066661581</v>
      </c>
      <c r="G101" s="14">
        <f t="shared" si="2"/>
        <v>6111.89123715341</v>
      </c>
      <c r="H101" s="14">
        <f t="shared" si="3"/>
        <v>3569409.56319735</v>
      </c>
      <c r="I101" s="14">
        <f t="shared" si="4"/>
        <v>0</v>
      </c>
      <c r="J101" s="14">
        <f t="shared" si="5"/>
        <v>22499.6979033115</v>
      </c>
      <c r="K101" s="18"/>
    </row>
    <row r="102" ht="15.75" customHeight="1" spans="2:11">
      <c r="B102" s="2">
        <f t="shared" si="6"/>
        <v>77</v>
      </c>
      <c r="C102" s="17">
        <v>46447</v>
      </c>
      <c r="D102" s="14">
        <f t="shared" si="7"/>
        <v>3569409.56319735</v>
      </c>
      <c r="E102" s="14">
        <f t="shared" si="0"/>
        <v>22499.6979033115</v>
      </c>
      <c r="F102" s="14">
        <f t="shared" si="1"/>
        <v>16359.7938313212</v>
      </c>
      <c r="G102" s="14">
        <f t="shared" si="2"/>
        <v>6139.90407199036</v>
      </c>
      <c r="H102" s="14">
        <f t="shared" si="3"/>
        <v>3563269.65912536</v>
      </c>
      <c r="I102" s="14">
        <f t="shared" si="4"/>
        <v>0</v>
      </c>
      <c r="J102" s="14">
        <f t="shared" si="5"/>
        <v>22499.6979033115</v>
      </c>
      <c r="K102" s="18"/>
    </row>
    <row r="103" ht="15.75" customHeight="1" spans="2:11">
      <c r="B103" s="2">
        <f t="shared" si="6"/>
        <v>78</v>
      </c>
      <c r="C103" s="17">
        <v>46478</v>
      </c>
      <c r="D103" s="14">
        <f t="shared" si="7"/>
        <v>3563269.65912536</v>
      </c>
      <c r="E103" s="14">
        <f t="shared" si="0"/>
        <v>22499.6979033115</v>
      </c>
      <c r="F103" s="14">
        <f t="shared" si="1"/>
        <v>16331.6526043245</v>
      </c>
      <c r="G103" s="14">
        <f t="shared" si="2"/>
        <v>6168.04529898698</v>
      </c>
      <c r="H103" s="14">
        <f t="shared" si="3"/>
        <v>3557101.61382637</v>
      </c>
      <c r="I103" s="14">
        <f t="shared" si="4"/>
        <v>0</v>
      </c>
      <c r="J103" s="14">
        <f t="shared" si="5"/>
        <v>22499.6979033115</v>
      </c>
      <c r="K103" s="18"/>
    </row>
    <row r="104" ht="15.75" customHeight="1" spans="2:11">
      <c r="B104" s="2">
        <f t="shared" si="6"/>
        <v>79</v>
      </c>
      <c r="C104" s="17">
        <v>46508</v>
      </c>
      <c r="D104" s="14">
        <f t="shared" si="7"/>
        <v>3557101.61382637</v>
      </c>
      <c r="E104" s="14">
        <f t="shared" si="0"/>
        <v>22499.6979033115</v>
      </c>
      <c r="F104" s="14">
        <f t="shared" si="1"/>
        <v>16303.3823967042</v>
      </c>
      <c r="G104" s="14">
        <f t="shared" si="2"/>
        <v>6196.31550660734</v>
      </c>
      <c r="H104" s="14">
        <f t="shared" si="3"/>
        <v>3550905.29831976</v>
      </c>
      <c r="I104" s="14">
        <f t="shared" si="4"/>
        <v>0</v>
      </c>
      <c r="J104" s="14">
        <f t="shared" si="5"/>
        <v>22499.6979033115</v>
      </c>
      <c r="K104" s="18"/>
    </row>
    <row r="105" ht="15.75" customHeight="1" spans="2:11">
      <c r="B105" s="2">
        <f t="shared" si="6"/>
        <v>80</v>
      </c>
      <c r="C105" s="17">
        <v>46539</v>
      </c>
      <c r="D105" s="14">
        <f t="shared" si="7"/>
        <v>3550905.29831976</v>
      </c>
      <c r="E105" s="14">
        <f t="shared" si="0"/>
        <v>22499.6979033115</v>
      </c>
      <c r="F105" s="14">
        <f t="shared" si="1"/>
        <v>16274.9826172989</v>
      </c>
      <c r="G105" s="14">
        <f t="shared" si="2"/>
        <v>6224.71528601263</v>
      </c>
      <c r="H105" s="14">
        <f t="shared" si="3"/>
        <v>3544680.58303375</v>
      </c>
      <c r="I105" s="14">
        <f t="shared" si="4"/>
        <v>0</v>
      </c>
      <c r="J105" s="14">
        <f t="shared" si="5"/>
        <v>22499.6979033115</v>
      </c>
      <c r="K105" s="18"/>
    </row>
    <row r="106" ht="15.75" customHeight="1" spans="2:11">
      <c r="B106" s="2">
        <f t="shared" si="6"/>
        <v>81</v>
      </c>
      <c r="C106" s="17">
        <v>46569</v>
      </c>
      <c r="D106" s="14">
        <f t="shared" si="7"/>
        <v>3544680.58303375</v>
      </c>
      <c r="E106" s="14">
        <f t="shared" si="0"/>
        <v>22499.6979033115</v>
      </c>
      <c r="F106" s="14">
        <f t="shared" si="1"/>
        <v>16246.452672238</v>
      </c>
      <c r="G106" s="14">
        <f t="shared" si="2"/>
        <v>6253.24523107352</v>
      </c>
      <c r="H106" s="14">
        <f t="shared" si="3"/>
        <v>3538427.33780267</v>
      </c>
      <c r="I106" s="14">
        <f t="shared" si="4"/>
        <v>0</v>
      </c>
      <c r="J106" s="14">
        <f t="shared" si="5"/>
        <v>22499.6979033115</v>
      </c>
      <c r="K106" s="18"/>
    </row>
    <row r="107" ht="15.75" customHeight="1" spans="2:11">
      <c r="B107" s="2">
        <f t="shared" si="6"/>
        <v>82</v>
      </c>
      <c r="C107" s="17">
        <v>46600</v>
      </c>
      <c r="D107" s="14">
        <f t="shared" si="7"/>
        <v>3538427.33780267</v>
      </c>
      <c r="E107" s="14">
        <f t="shared" si="0"/>
        <v>22499.6979033115</v>
      </c>
      <c r="F107" s="14">
        <f t="shared" si="1"/>
        <v>16217.7919649289</v>
      </c>
      <c r="G107" s="14">
        <f t="shared" si="2"/>
        <v>6281.9059383826</v>
      </c>
      <c r="H107" s="14">
        <f t="shared" si="3"/>
        <v>3532145.43186429</v>
      </c>
      <c r="I107" s="14">
        <f t="shared" si="4"/>
        <v>0</v>
      </c>
      <c r="J107" s="14">
        <f t="shared" si="5"/>
        <v>22499.6979033115</v>
      </c>
      <c r="K107" s="18"/>
    </row>
    <row r="108" ht="15.75" customHeight="1" spans="2:11">
      <c r="B108" s="2">
        <f t="shared" si="6"/>
        <v>83</v>
      </c>
      <c r="C108" s="17">
        <v>46631</v>
      </c>
      <c r="D108" s="14">
        <f t="shared" si="7"/>
        <v>3532145.43186429</v>
      </c>
      <c r="E108" s="14">
        <f t="shared" si="0"/>
        <v>22499.6979033115</v>
      </c>
      <c r="F108" s="14">
        <f t="shared" si="1"/>
        <v>16188.9998960447</v>
      </c>
      <c r="G108" s="14">
        <f t="shared" si="2"/>
        <v>6310.69800726686</v>
      </c>
      <c r="H108" s="14">
        <f t="shared" si="3"/>
        <v>3525834.73385702</v>
      </c>
      <c r="I108" s="14">
        <f t="shared" si="4"/>
        <v>0</v>
      </c>
      <c r="J108" s="14">
        <f t="shared" si="5"/>
        <v>22499.6979033115</v>
      </c>
      <c r="K108" s="18"/>
    </row>
    <row r="109" ht="15.75" customHeight="1" spans="2:11">
      <c r="B109" s="2">
        <f t="shared" si="6"/>
        <v>84</v>
      </c>
      <c r="C109" s="17">
        <v>46661</v>
      </c>
      <c r="D109" s="14">
        <f t="shared" si="7"/>
        <v>3525834.73385702</v>
      </c>
      <c r="E109" s="14">
        <f t="shared" si="0"/>
        <v>22499.6979033115</v>
      </c>
      <c r="F109" s="14">
        <f t="shared" si="1"/>
        <v>16160.0758635114</v>
      </c>
      <c r="G109" s="14">
        <f t="shared" si="2"/>
        <v>6339.62203980016</v>
      </c>
      <c r="H109" s="14">
        <f t="shared" si="3"/>
        <v>3519495.11181722</v>
      </c>
      <c r="I109" s="14">
        <f t="shared" si="4"/>
        <v>0</v>
      </c>
      <c r="J109" s="14">
        <f t="shared" si="5"/>
        <v>22499.6979033115</v>
      </c>
      <c r="K109" s="18"/>
    </row>
    <row r="110" ht="15.75" customHeight="1" spans="2:11">
      <c r="B110" s="2">
        <f t="shared" si="6"/>
        <v>85</v>
      </c>
      <c r="C110" s="17">
        <v>46692</v>
      </c>
      <c r="D110" s="14">
        <f t="shared" si="7"/>
        <v>3519495.11181722</v>
      </c>
      <c r="E110" s="14">
        <f t="shared" si="0"/>
        <v>22499.6979033115</v>
      </c>
      <c r="F110" s="14">
        <f t="shared" si="1"/>
        <v>16131.0192624956</v>
      </c>
      <c r="G110" s="14">
        <f t="shared" si="2"/>
        <v>6368.67864081592</v>
      </c>
      <c r="H110" s="14">
        <f t="shared" si="3"/>
        <v>3513126.43317641</v>
      </c>
      <c r="I110" s="14">
        <f t="shared" si="4"/>
        <v>0</v>
      </c>
      <c r="J110" s="14">
        <f t="shared" si="5"/>
        <v>22499.6979033115</v>
      </c>
      <c r="K110" s="14">
        <f>SUM(I110:I121)</f>
        <v>0</v>
      </c>
    </row>
    <row r="111" ht="15.75" customHeight="1" spans="2:11">
      <c r="B111" s="2">
        <f t="shared" si="6"/>
        <v>86</v>
      </c>
      <c r="C111" s="17">
        <v>46722</v>
      </c>
      <c r="D111" s="14">
        <f t="shared" si="7"/>
        <v>3513126.43317641</v>
      </c>
      <c r="E111" s="14">
        <f t="shared" si="0"/>
        <v>22499.6979033115</v>
      </c>
      <c r="F111" s="14">
        <f t="shared" si="1"/>
        <v>16101.8294853919</v>
      </c>
      <c r="G111" s="14">
        <f t="shared" si="2"/>
        <v>6397.86841791965</v>
      </c>
      <c r="H111" s="14">
        <f t="shared" si="3"/>
        <v>3506728.56475849</v>
      </c>
      <c r="I111" s="14">
        <f t="shared" si="4"/>
        <v>0</v>
      </c>
      <c r="J111" s="14">
        <f t="shared" si="5"/>
        <v>22499.6979033115</v>
      </c>
      <c r="K111" s="18"/>
    </row>
    <row r="112" ht="15.75" customHeight="1" spans="2:11">
      <c r="B112" s="2">
        <f t="shared" si="6"/>
        <v>87</v>
      </c>
      <c r="C112" s="17">
        <v>46753</v>
      </c>
      <c r="D112" s="14">
        <f t="shared" si="7"/>
        <v>3506728.56475849</v>
      </c>
      <c r="E112" s="14">
        <f t="shared" si="0"/>
        <v>22499.6979033115</v>
      </c>
      <c r="F112" s="14">
        <f t="shared" si="1"/>
        <v>16072.5059218097</v>
      </c>
      <c r="G112" s="14">
        <f t="shared" si="2"/>
        <v>6427.19198150179</v>
      </c>
      <c r="H112" s="14">
        <f t="shared" si="3"/>
        <v>3500301.37277699</v>
      </c>
      <c r="I112" s="14">
        <f t="shared" si="4"/>
        <v>0</v>
      </c>
      <c r="J112" s="14">
        <f t="shared" si="5"/>
        <v>22499.6979033115</v>
      </c>
      <c r="K112" s="18"/>
    </row>
    <row r="113" ht="15.75" customHeight="1" spans="2:11">
      <c r="B113" s="2">
        <f t="shared" si="6"/>
        <v>88</v>
      </c>
      <c r="C113" s="17">
        <v>46784</v>
      </c>
      <c r="D113" s="14">
        <f t="shared" si="7"/>
        <v>3500301.37277699</v>
      </c>
      <c r="E113" s="14">
        <f t="shared" si="0"/>
        <v>22499.6979033115</v>
      </c>
      <c r="F113" s="14">
        <f t="shared" si="1"/>
        <v>16043.0479585612</v>
      </c>
      <c r="G113" s="14">
        <f t="shared" si="2"/>
        <v>6456.64994475034</v>
      </c>
      <c r="H113" s="14">
        <f t="shared" si="3"/>
        <v>3493844.72283224</v>
      </c>
      <c r="I113" s="14">
        <f t="shared" si="4"/>
        <v>0</v>
      </c>
      <c r="J113" s="14">
        <f t="shared" si="5"/>
        <v>22499.6979033115</v>
      </c>
      <c r="K113" s="18"/>
    </row>
    <row r="114" ht="15.75" customHeight="1" spans="2:11">
      <c r="B114" s="2">
        <f t="shared" si="6"/>
        <v>89</v>
      </c>
      <c r="C114" s="17">
        <v>46813</v>
      </c>
      <c r="D114" s="14">
        <f t="shared" si="7"/>
        <v>3493844.72283224</v>
      </c>
      <c r="E114" s="14">
        <f t="shared" si="0"/>
        <v>22499.6979033115</v>
      </c>
      <c r="F114" s="14">
        <f t="shared" si="1"/>
        <v>16013.4549796477</v>
      </c>
      <c r="G114" s="14">
        <f t="shared" si="2"/>
        <v>6486.24292366377</v>
      </c>
      <c r="H114" s="14">
        <f t="shared" si="3"/>
        <v>3487358.47990857</v>
      </c>
      <c r="I114" s="14">
        <f t="shared" si="4"/>
        <v>0</v>
      </c>
      <c r="J114" s="14">
        <f t="shared" si="5"/>
        <v>22499.6979033115</v>
      </c>
      <c r="K114" s="18"/>
    </row>
    <row r="115" ht="15.75" customHeight="1" spans="2:11">
      <c r="B115" s="2">
        <f t="shared" si="6"/>
        <v>90</v>
      </c>
      <c r="C115" s="17">
        <v>46844</v>
      </c>
      <c r="D115" s="14">
        <f t="shared" si="7"/>
        <v>3487358.47990857</v>
      </c>
      <c r="E115" s="14">
        <f t="shared" si="0"/>
        <v>22499.6979033115</v>
      </c>
      <c r="F115" s="14">
        <f t="shared" si="1"/>
        <v>15983.7263662476</v>
      </c>
      <c r="G115" s="14">
        <f t="shared" si="2"/>
        <v>6515.9715370639</v>
      </c>
      <c r="H115" s="14">
        <f t="shared" si="3"/>
        <v>3480842.50837151</v>
      </c>
      <c r="I115" s="14">
        <f t="shared" si="4"/>
        <v>0</v>
      </c>
      <c r="J115" s="14">
        <f t="shared" si="5"/>
        <v>22499.6979033115</v>
      </c>
      <c r="K115" s="18"/>
    </row>
    <row r="116" ht="15.75" customHeight="1" spans="2:11">
      <c r="B116" s="2">
        <f t="shared" si="6"/>
        <v>91</v>
      </c>
      <c r="C116" s="17">
        <v>46874</v>
      </c>
      <c r="D116" s="14">
        <f t="shared" si="7"/>
        <v>3480842.50837151</v>
      </c>
      <c r="E116" s="14">
        <f t="shared" si="0"/>
        <v>22499.6979033115</v>
      </c>
      <c r="F116" s="14">
        <f t="shared" si="1"/>
        <v>15953.8614967027</v>
      </c>
      <c r="G116" s="14">
        <f t="shared" si="2"/>
        <v>6545.83640660878</v>
      </c>
      <c r="H116" s="14">
        <f t="shared" si="3"/>
        <v>3474296.6719649</v>
      </c>
      <c r="I116" s="14">
        <f t="shared" si="4"/>
        <v>0</v>
      </c>
      <c r="J116" s="14">
        <f t="shared" si="5"/>
        <v>22499.6979033115</v>
      </c>
      <c r="K116" s="18"/>
    </row>
    <row r="117" ht="15.75" customHeight="1" spans="2:11">
      <c r="B117" s="2">
        <f t="shared" si="6"/>
        <v>92</v>
      </c>
      <c r="C117" s="17">
        <v>46905</v>
      </c>
      <c r="D117" s="14">
        <f t="shared" si="7"/>
        <v>3474296.6719649</v>
      </c>
      <c r="E117" s="14">
        <f t="shared" si="0"/>
        <v>22499.6979033115</v>
      </c>
      <c r="F117" s="14">
        <f t="shared" si="1"/>
        <v>15923.8597465058</v>
      </c>
      <c r="G117" s="14">
        <f t="shared" si="2"/>
        <v>6575.83815680573</v>
      </c>
      <c r="H117" s="14">
        <f t="shared" si="3"/>
        <v>3467720.8338081</v>
      </c>
      <c r="I117" s="14">
        <f t="shared" si="4"/>
        <v>0</v>
      </c>
      <c r="J117" s="14">
        <f t="shared" si="5"/>
        <v>22499.6979033115</v>
      </c>
      <c r="K117" s="18"/>
    </row>
    <row r="118" ht="15.75" customHeight="1" spans="2:11">
      <c r="B118" s="2">
        <f t="shared" si="6"/>
        <v>93</v>
      </c>
      <c r="C118" s="17">
        <v>46935</v>
      </c>
      <c r="D118" s="14">
        <f t="shared" si="7"/>
        <v>3467720.8338081</v>
      </c>
      <c r="E118" s="14">
        <f t="shared" si="0"/>
        <v>22499.6979033115</v>
      </c>
      <c r="F118" s="14">
        <f t="shared" si="1"/>
        <v>15893.7204882871</v>
      </c>
      <c r="G118" s="14">
        <f t="shared" si="2"/>
        <v>6605.97741502443</v>
      </c>
      <c r="H118" s="14">
        <f t="shared" si="3"/>
        <v>3461114.85639307</v>
      </c>
      <c r="I118" s="14">
        <f t="shared" si="4"/>
        <v>0</v>
      </c>
      <c r="J118" s="14">
        <f t="shared" si="5"/>
        <v>22499.6979033115</v>
      </c>
      <c r="K118" s="18"/>
    </row>
    <row r="119" ht="15.75" customHeight="1" spans="2:11">
      <c r="B119" s="2">
        <f t="shared" si="6"/>
        <v>94</v>
      </c>
      <c r="C119" s="17">
        <v>46966</v>
      </c>
      <c r="D119" s="14">
        <f t="shared" si="7"/>
        <v>3461114.85639307</v>
      </c>
      <c r="E119" s="14">
        <f t="shared" si="0"/>
        <v>22499.6979033115</v>
      </c>
      <c r="F119" s="14">
        <f t="shared" si="1"/>
        <v>15863.4430918016</v>
      </c>
      <c r="G119" s="14">
        <f t="shared" si="2"/>
        <v>6636.25481150995</v>
      </c>
      <c r="H119" s="14">
        <f t="shared" si="3"/>
        <v>3454478.60158156</v>
      </c>
      <c r="I119" s="14">
        <f t="shared" si="4"/>
        <v>0</v>
      </c>
      <c r="J119" s="14">
        <f t="shared" si="5"/>
        <v>22499.6979033115</v>
      </c>
      <c r="K119" s="18"/>
    </row>
    <row r="120" ht="15.75" customHeight="1" spans="2:11">
      <c r="B120" s="2">
        <f t="shared" si="6"/>
        <v>95</v>
      </c>
      <c r="C120" s="17">
        <v>46997</v>
      </c>
      <c r="D120" s="14">
        <f t="shared" si="7"/>
        <v>3454478.60158156</v>
      </c>
      <c r="E120" s="14">
        <f t="shared" si="0"/>
        <v>22499.6979033115</v>
      </c>
      <c r="F120" s="14">
        <f t="shared" si="1"/>
        <v>15833.0269239155</v>
      </c>
      <c r="G120" s="14">
        <f t="shared" si="2"/>
        <v>6666.67097939604</v>
      </c>
      <c r="H120" s="14">
        <f t="shared" si="3"/>
        <v>3447811.93060216</v>
      </c>
      <c r="I120" s="14">
        <f t="shared" si="4"/>
        <v>0</v>
      </c>
      <c r="J120" s="14">
        <f t="shared" si="5"/>
        <v>22499.6979033115</v>
      </c>
      <c r="K120" s="18"/>
    </row>
    <row r="121" ht="15.75" customHeight="1" spans="2:11">
      <c r="B121" s="2">
        <f t="shared" si="6"/>
        <v>96</v>
      </c>
      <c r="C121" s="17">
        <v>47027</v>
      </c>
      <c r="D121" s="14">
        <f t="shared" si="7"/>
        <v>3447811.93060216</v>
      </c>
      <c r="E121" s="14">
        <f t="shared" si="0"/>
        <v>22499.6979033115</v>
      </c>
      <c r="F121" s="14">
        <f t="shared" si="1"/>
        <v>15802.4713485932</v>
      </c>
      <c r="G121" s="14">
        <f t="shared" si="2"/>
        <v>6697.22655471827</v>
      </c>
      <c r="H121" s="14">
        <f t="shared" si="3"/>
        <v>3441114.70404745</v>
      </c>
      <c r="I121" s="14">
        <f t="shared" si="4"/>
        <v>0</v>
      </c>
      <c r="J121" s="14">
        <f t="shared" si="5"/>
        <v>22499.6979033115</v>
      </c>
      <c r="K121" s="18"/>
    </row>
    <row r="122" ht="15.75" customHeight="1" spans="2:11">
      <c r="B122" s="2">
        <f t="shared" si="6"/>
        <v>97</v>
      </c>
      <c r="C122" s="17">
        <v>47058</v>
      </c>
      <c r="D122" s="14">
        <f t="shared" si="7"/>
        <v>3441114.70404745</v>
      </c>
      <c r="E122" s="14">
        <f t="shared" si="0"/>
        <v>22499.6979033115</v>
      </c>
      <c r="F122" s="14">
        <f t="shared" si="1"/>
        <v>15771.7757268841</v>
      </c>
      <c r="G122" s="14">
        <f t="shared" si="2"/>
        <v>6727.9221764274</v>
      </c>
      <c r="H122" s="14">
        <f t="shared" si="3"/>
        <v>3434386.78187102</v>
      </c>
      <c r="I122" s="14">
        <f t="shared" si="4"/>
        <v>0</v>
      </c>
      <c r="J122" s="14">
        <f t="shared" si="5"/>
        <v>22499.6979033115</v>
      </c>
      <c r="K122" s="14">
        <f>SUM(I122:I133)</f>
        <v>0</v>
      </c>
    </row>
    <row r="123" ht="15.75" customHeight="1" spans="2:11">
      <c r="B123" s="2">
        <f t="shared" si="6"/>
        <v>98</v>
      </c>
      <c r="C123" s="17">
        <v>47088</v>
      </c>
      <c r="D123" s="14">
        <f t="shared" si="7"/>
        <v>3434386.78187102</v>
      </c>
      <c r="E123" s="14">
        <f t="shared" si="0"/>
        <v>22499.6979033115</v>
      </c>
      <c r="F123" s="14">
        <f t="shared" si="1"/>
        <v>15740.9394169088</v>
      </c>
      <c r="G123" s="14">
        <f t="shared" si="2"/>
        <v>6758.75848640269</v>
      </c>
      <c r="H123" s="14">
        <f t="shared" si="3"/>
        <v>3427628.02338462</v>
      </c>
      <c r="I123" s="14">
        <f t="shared" si="4"/>
        <v>0</v>
      </c>
      <c r="J123" s="14">
        <f t="shared" si="5"/>
        <v>22499.6979033115</v>
      </c>
      <c r="K123" s="18"/>
    </row>
    <row r="124" ht="15.75" customHeight="1" spans="2:11">
      <c r="B124" s="2">
        <f t="shared" si="6"/>
        <v>99</v>
      </c>
      <c r="C124" s="17">
        <v>47119</v>
      </c>
      <c r="D124" s="14">
        <f t="shared" si="7"/>
        <v>3427628.02338462</v>
      </c>
      <c r="E124" s="14">
        <f t="shared" si="0"/>
        <v>22499.6979033115</v>
      </c>
      <c r="F124" s="14">
        <f t="shared" si="1"/>
        <v>15709.9617738461</v>
      </c>
      <c r="G124" s="14">
        <f t="shared" si="2"/>
        <v>6789.73612946537</v>
      </c>
      <c r="H124" s="14">
        <f t="shared" si="3"/>
        <v>3420838.28725515</v>
      </c>
      <c r="I124" s="14">
        <f t="shared" si="4"/>
        <v>0</v>
      </c>
      <c r="J124" s="14">
        <f t="shared" si="5"/>
        <v>22499.6979033115</v>
      </c>
      <c r="K124" s="18"/>
    </row>
    <row r="125" ht="15.75" customHeight="1" spans="2:11">
      <c r="B125" s="2">
        <f t="shared" si="6"/>
        <v>100</v>
      </c>
      <c r="C125" s="17">
        <v>47150</v>
      </c>
      <c r="D125" s="14">
        <f t="shared" si="7"/>
        <v>3420838.28725515</v>
      </c>
      <c r="E125" s="14">
        <f t="shared" si="0"/>
        <v>22499.6979033115</v>
      </c>
      <c r="F125" s="14">
        <f t="shared" si="1"/>
        <v>15678.8421499194</v>
      </c>
      <c r="G125" s="14">
        <f t="shared" si="2"/>
        <v>6820.85575339208</v>
      </c>
      <c r="H125" s="14">
        <f t="shared" si="3"/>
        <v>3414017.43150176</v>
      </c>
      <c r="I125" s="14">
        <f t="shared" si="4"/>
        <v>0</v>
      </c>
      <c r="J125" s="14">
        <f t="shared" si="5"/>
        <v>22499.6979033115</v>
      </c>
      <c r="K125" s="18"/>
    </row>
    <row r="126" ht="15.75" customHeight="1" spans="2:11">
      <c r="B126" s="2">
        <f t="shared" si="6"/>
        <v>101</v>
      </c>
      <c r="C126" s="17">
        <v>47178</v>
      </c>
      <c r="D126" s="14">
        <f t="shared" si="7"/>
        <v>3414017.43150176</v>
      </c>
      <c r="E126" s="14">
        <f t="shared" si="0"/>
        <v>22499.6979033115</v>
      </c>
      <c r="F126" s="14">
        <f t="shared" si="1"/>
        <v>15647.5798943831</v>
      </c>
      <c r="G126" s="14">
        <f t="shared" si="2"/>
        <v>6852.11800892847</v>
      </c>
      <c r="H126" s="14">
        <f t="shared" si="3"/>
        <v>3407165.31349283</v>
      </c>
      <c r="I126" s="14">
        <f t="shared" si="4"/>
        <v>0</v>
      </c>
      <c r="J126" s="14">
        <f t="shared" si="5"/>
        <v>22499.6979033115</v>
      </c>
      <c r="K126" s="18"/>
    </row>
    <row r="127" ht="15.75" customHeight="1" spans="2:11">
      <c r="B127" s="2">
        <f t="shared" si="6"/>
        <v>102</v>
      </c>
      <c r="C127" s="17">
        <v>47209</v>
      </c>
      <c r="D127" s="14">
        <f t="shared" si="7"/>
        <v>3407165.31349283</v>
      </c>
      <c r="E127" s="14">
        <f t="shared" si="0"/>
        <v>22499.6979033115</v>
      </c>
      <c r="F127" s="14">
        <f t="shared" si="1"/>
        <v>15616.1743535088</v>
      </c>
      <c r="G127" s="14">
        <f t="shared" si="2"/>
        <v>6883.52354980272</v>
      </c>
      <c r="H127" s="14">
        <f t="shared" si="3"/>
        <v>3400281.78994303</v>
      </c>
      <c r="I127" s="14">
        <f t="shared" si="4"/>
        <v>0</v>
      </c>
      <c r="J127" s="14">
        <f t="shared" si="5"/>
        <v>22499.6979033115</v>
      </c>
      <c r="K127" s="18"/>
    </row>
    <row r="128" ht="15.75" customHeight="1" spans="2:11">
      <c r="B128" s="2">
        <f t="shared" si="6"/>
        <v>103</v>
      </c>
      <c r="C128" s="17">
        <v>47239</v>
      </c>
      <c r="D128" s="14">
        <f t="shared" si="7"/>
        <v>3400281.78994303</v>
      </c>
      <c r="E128" s="14">
        <f t="shared" si="0"/>
        <v>22499.6979033115</v>
      </c>
      <c r="F128" s="14">
        <f t="shared" si="1"/>
        <v>15584.6248705722</v>
      </c>
      <c r="G128" s="14">
        <f t="shared" si="2"/>
        <v>6915.07303273932</v>
      </c>
      <c r="H128" s="14">
        <f t="shared" si="3"/>
        <v>3393366.71691029</v>
      </c>
      <c r="I128" s="14">
        <f t="shared" si="4"/>
        <v>0</v>
      </c>
      <c r="J128" s="14">
        <f t="shared" si="5"/>
        <v>22499.6979033115</v>
      </c>
      <c r="K128" s="18"/>
    </row>
    <row r="129" ht="15.75" customHeight="1" spans="2:11">
      <c r="B129" s="2">
        <f t="shared" si="6"/>
        <v>104</v>
      </c>
      <c r="C129" s="17">
        <v>47270</v>
      </c>
      <c r="D129" s="14">
        <f t="shared" si="7"/>
        <v>3393366.71691029</v>
      </c>
      <c r="E129" s="14">
        <f t="shared" si="0"/>
        <v>22499.6979033115</v>
      </c>
      <c r="F129" s="14">
        <f t="shared" si="1"/>
        <v>15552.9307858388</v>
      </c>
      <c r="G129" s="14">
        <f t="shared" si="2"/>
        <v>6946.7671174727</v>
      </c>
      <c r="H129" s="14">
        <f t="shared" si="3"/>
        <v>3386419.94979282</v>
      </c>
      <c r="I129" s="14">
        <f t="shared" si="4"/>
        <v>0</v>
      </c>
      <c r="J129" s="14">
        <f t="shared" si="5"/>
        <v>22499.6979033115</v>
      </c>
      <c r="K129" s="18"/>
    </row>
    <row r="130" ht="15.75" customHeight="1" spans="2:11">
      <c r="B130" s="2">
        <f t="shared" si="6"/>
        <v>105</v>
      </c>
      <c r="C130" s="17">
        <v>47300</v>
      </c>
      <c r="D130" s="14">
        <f t="shared" si="7"/>
        <v>3386419.94979282</v>
      </c>
      <c r="E130" s="14">
        <f t="shared" si="0"/>
        <v>22499.6979033115</v>
      </c>
      <c r="F130" s="14">
        <f t="shared" si="1"/>
        <v>15521.0914365504</v>
      </c>
      <c r="G130" s="14">
        <f t="shared" si="2"/>
        <v>6978.60646676112</v>
      </c>
      <c r="H130" s="14">
        <f t="shared" si="3"/>
        <v>3379441.34332605</v>
      </c>
      <c r="I130" s="14">
        <f t="shared" si="4"/>
        <v>0</v>
      </c>
      <c r="J130" s="14">
        <f t="shared" si="5"/>
        <v>22499.6979033115</v>
      </c>
      <c r="K130" s="18"/>
    </row>
    <row r="131" ht="15.75" customHeight="1" spans="2:11">
      <c r="B131" s="2">
        <f t="shared" si="6"/>
        <v>106</v>
      </c>
      <c r="C131" s="17">
        <v>47331</v>
      </c>
      <c r="D131" s="14">
        <f t="shared" si="7"/>
        <v>3379441.34332605</v>
      </c>
      <c r="E131" s="14">
        <f t="shared" si="0"/>
        <v>22499.6979033115</v>
      </c>
      <c r="F131" s="14">
        <f t="shared" si="1"/>
        <v>15489.1061569111</v>
      </c>
      <c r="G131" s="14">
        <f t="shared" si="2"/>
        <v>7010.59174640044</v>
      </c>
      <c r="H131" s="14">
        <f t="shared" si="3"/>
        <v>3372430.75157965</v>
      </c>
      <c r="I131" s="14">
        <f t="shared" si="4"/>
        <v>0</v>
      </c>
      <c r="J131" s="14">
        <f t="shared" si="5"/>
        <v>22499.6979033115</v>
      </c>
      <c r="K131" s="18"/>
    </row>
    <row r="132" ht="15.75" customHeight="1" spans="2:11">
      <c r="B132" s="2">
        <f t="shared" si="6"/>
        <v>107</v>
      </c>
      <c r="C132" s="17">
        <v>47362</v>
      </c>
      <c r="D132" s="14">
        <f t="shared" si="7"/>
        <v>3372430.75157965</v>
      </c>
      <c r="E132" s="14">
        <f t="shared" si="0"/>
        <v>22499.6979033115</v>
      </c>
      <c r="F132" s="14">
        <f t="shared" si="1"/>
        <v>15456.9742780734</v>
      </c>
      <c r="G132" s="14">
        <f t="shared" si="2"/>
        <v>7042.72362523811</v>
      </c>
      <c r="H132" s="14">
        <f t="shared" si="3"/>
        <v>3365388.02795442</v>
      </c>
      <c r="I132" s="14">
        <f t="shared" si="4"/>
        <v>0</v>
      </c>
      <c r="J132" s="14">
        <f t="shared" si="5"/>
        <v>22499.6979033115</v>
      </c>
      <c r="K132" s="18"/>
    </row>
    <row r="133" ht="15.75" customHeight="1" spans="2:11">
      <c r="B133" s="2">
        <f t="shared" si="6"/>
        <v>108</v>
      </c>
      <c r="C133" s="17">
        <v>47392</v>
      </c>
      <c r="D133" s="14">
        <f t="shared" si="7"/>
        <v>3365388.02795442</v>
      </c>
      <c r="E133" s="14">
        <f t="shared" si="0"/>
        <v>22499.6979033115</v>
      </c>
      <c r="F133" s="14">
        <f t="shared" si="1"/>
        <v>15424.6951281244</v>
      </c>
      <c r="G133" s="14">
        <f t="shared" si="2"/>
        <v>7075.00277518712</v>
      </c>
      <c r="H133" s="14">
        <f t="shared" si="3"/>
        <v>3358313.02517923</v>
      </c>
      <c r="I133" s="14">
        <f t="shared" si="4"/>
        <v>0</v>
      </c>
      <c r="J133" s="14">
        <f t="shared" si="5"/>
        <v>22499.6979033115</v>
      </c>
      <c r="K133" s="18"/>
    </row>
    <row r="134" ht="15.75" customHeight="1" spans="2:11">
      <c r="B134" s="2">
        <f t="shared" si="6"/>
        <v>109</v>
      </c>
      <c r="C134" s="17">
        <v>47423</v>
      </c>
      <c r="D134" s="14">
        <f t="shared" si="7"/>
        <v>3358313.02517923</v>
      </c>
      <c r="E134" s="14">
        <f t="shared" si="0"/>
        <v>22499.6979033115</v>
      </c>
      <c r="F134" s="14">
        <f t="shared" si="1"/>
        <v>15392.2680320715</v>
      </c>
      <c r="G134" s="14">
        <f t="shared" si="2"/>
        <v>7107.42987124006</v>
      </c>
      <c r="H134" s="14">
        <f t="shared" si="3"/>
        <v>3351205.59530799</v>
      </c>
      <c r="I134" s="14">
        <f t="shared" si="4"/>
        <v>0</v>
      </c>
      <c r="J134" s="14">
        <f t="shared" si="5"/>
        <v>22499.6979033115</v>
      </c>
      <c r="K134" s="14">
        <f>SUM(I134:I145)</f>
        <v>0</v>
      </c>
    </row>
    <row r="135" ht="15.75" customHeight="1" spans="2:11">
      <c r="B135" s="2">
        <f t="shared" si="6"/>
        <v>110</v>
      </c>
      <c r="C135" s="17">
        <v>47453</v>
      </c>
      <c r="D135" s="14">
        <f t="shared" si="7"/>
        <v>3351205.59530799</v>
      </c>
      <c r="E135" s="14">
        <f t="shared" si="0"/>
        <v>22499.6979033115</v>
      </c>
      <c r="F135" s="14">
        <f t="shared" si="1"/>
        <v>15359.6923118283</v>
      </c>
      <c r="G135" s="14">
        <f t="shared" si="2"/>
        <v>7140.00559148324</v>
      </c>
      <c r="H135" s="14">
        <f t="shared" si="3"/>
        <v>3344065.58971651</v>
      </c>
      <c r="I135" s="14">
        <f t="shared" si="4"/>
        <v>0</v>
      </c>
      <c r="J135" s="14">
        <f t="shared" si="5"/>
        <v>22499.6979033115</v>
      </c>
      <c r="K135" s="18"/>
    </row>
    <row r="136" ht="15.75" customHeight="1" spans="2:11">
      <c r="B136" s="2">
        <f t="shared" si="6"/>
        <v>111</v>
      </c>
      <c r="C136" s="17">
        <v>47484</v>
      </c>
      <c r="D136" s="14">
        <f t="shared" si="7"/>
        <v>3344065.58971651</v>
      </c>
      <c r="E136" s="14">
        <f t="shared" si="0"/>
        <v>22499.6979033115</v>
      </c>
      <c r="F136" s="14">
        <f t="shared" si="1"/>
        <v>15326.9672862006</v>
      </c>
      <c r="G136" s="14">
        <f t="shared" si="2"/>
        <v>7172.73061711088</v>
      </c>
      <c r="H136" s="14">
        <f t="shared" si="3"/>
        <v>3336892.85909939</v>
      </c>
      <c r="I136" s="14">
        <f t="shared" si="4"/>
        <v>0</v>
      </c>
      <c r="J136" s="14">
        <f t="shared" si="5"/>
        <v>22499.6979033115</v>
      </c>
      <c r="K136" s="18"/>
    </row>
    <row r="137" ht="15.75" customHeight="1" spans="2:11">
      <c r="B137" s="2">
        <f t="shared" si="6"/>
        <v>112</v>
      </c>
      <c r="C137" s="17">
        <v>47515</v>
      </c>
      <c r="D137" s="14">
        <f t="shared" si="7"/>
        <v>3336892.85909939</v>
      </c>
      <c r="E137" s="14">
        <f t="shared" si="0"/>
        <v>22499.6979033115</v>
      </c>
      <c r="F137" s="14">
        <f t="shared" si="1"/>
        <v>15294.0922708722</v>
      </c>
      <c r="G137" s="14">
        <f t="shared" si="2"/>
        <v>7205.6056324393</v>
      </c>
      <c r="H137" s="14">
        <f t="shared" si="3"/>
        <v>3329687.25346696</v>
      </c>
      <c r="I137" s="14">
        <f t="shared" si="4"/>
        <v>0</v>
      </c>
      <c r="J137" s="14">
        <f t="shared" si="5"/>
        <v>22499.6979033115</v>
      </c>
      <c r="K137" s="18"/>
    </row>
    <row r="138" ht="15.75" customHeight="1" spans="2:11">
      <c r="B138" s="2">
        <f t="shared" si="6"/>
        <v>113</v>
      </c>
      <c r="C138" s="17">
        <v>47543</v>
      </c>
      <c r="D138" s="14">
        <f t="shared" si="7"/>
        <v>3329687.25346696</v>
      </c>
      <c r="E138" s="14">
        <f t="shared" si="0"/>
        <v>22499.6979033115</v>
      </c>
      <c r="F138" s="14">
        <f t="shared" si="1"/>
        <v>15261.0665783902</v>
      </c>
      <c r="G138" s="14">
        <f t="shared" si="2"/>
        <v>7238.63132492132</v>
      </c>
      <c r="H138" s="14">
        <f t="shared" si="3"/>
        <v>3322448.62214203</v>
      </c>
      <c r="I138" s="14">
        <f t="shared" si="4"/>
        <v>0</v>
      </c>
      <c r="J138" s="14">
        <f t="shared" si="5"/>
        <v>22499.6979033115</v>
      </c>
      <c r="K138" s="18"/>
    </row>
    <row r="139" ht="15.75" customHeight="1" spans="2:11">
      <c r="B139" s="2">
        <f t="shared" si="6"/>
        <v>114</v>
      </c>
      <c r="C139" s="17">
        <v>47574</v>
      </c>
      <c r="D139" s="14">
        <f t="shared" si="7"/>
        <v>3322448.62214203</v>
      </c>
      <c r="E139" s="14">
        <f t="shared" si="0"/>
        <v>22499.6979033115</v>
      </c>
      <c r="F139" s="14">
        <f t="shared" si="1"/>
        <v>15227.889518151</v>
      </c>
      <c r="G139" s="14">
        <f t="shared" si="2"/>
        <v>7271.80838516054</v>
      </c>
      <c r="H139" s="14">
        <f t="shared" si="3"/>
        <v>3315176.81375687</v>
      </c>
      <c r="I139" s="14">
        <f t="shared" si="4"/>
        <v>0</v>
      </c>
      <c r="J139" s="14">
        <f t="shared" si="5"/>
        <v>22499.6979033115</v>
      </c>
      <c r="K139" s="18"/>
    </row>
    <row r="140" ht="15.75" customHeight="1" spans="2:11">
      <c r="B140" s="2">
        <f t="shared" si="6"/>
        <v>115</v>
      </c>
      <c r="C140" s="17">
        <v>47604</v>
      </c>
      <c r="D140" s="14">
        <f t="shared" si="7"/>
        <v>3315176.81375687</v>
      </c>
      <c r="E140" s="14">
        <f t="shared" si="0"/>
        <v>22499.6979033115</v>
      </c>
      <c r="F140" s="14">
        <f t="shared" si="1"/>
        <v>15194.5603963857</v>
      </c>
      <c r="G140" s="14">
        <f t="shared" si="2"/>
        <v>7305.13750692586</v>
      </c>
      <c r="H140" s="14">
        <f t="shared" si="3"/>
        <v>3307871.67624995</v>
      </c>
      <c r="I140" s="14">
        <f t="shared" si="4"/>
        <v>0</v>
      </c>
      <c r="J140" s="14">
        <f t="shared" si="5"/>
        <v>22499.6979033115</v>
      </c>
      <c r="K140" s="18"/>
    </row>
    <row r="141" ht="15.75" customHeight="1" spans="2:11">
      <c r="B141" s="2">
        <f t="shared" si="6"/>
        <v>116</v>
      </c>
      <c r="C141" s="17">
        <v>47635</v>
      </c>
      <c r="D141" s="14">
        <f t="shared" si="7"/>
        <v>3307871.67624995</v>
      </c>
      <c r="E141" s="14">
        <f t="shared" si="0"/>
        <v>22499.6979033115</v>
      </c>
      <c r="F141" s="14">
        <f t="shared" si="1"/>
        <v>15161.0785161456</v>
      </c>
      <c r="G141" s="14">
        <f t="shared" si="2"/>
        <v>7338.61938716594</v>
      </c>
      <c r="H141" s="14">
        <f t="shared" si="3"/>
        <v>3300533.05686278</v>
      </c>
      <c r="I141" s="14">
        <f t="shared" si="4"/>
        <v>0</v>
      </c>
      <c r="J141" s="14">
        <f t="shared" si="5"/>
        <v>22499.6979033115</v>
      </c>
      <c r="K141" s="18"/>
    </row>
    <row r="142" ht="15.75" customHeight="1" spans="2:11">
      <c r="B142" s="2">
        <f t="shared" si="6"/>
        <v>117</v>
      </c>
      <c r="C142" s="17">
        <v>47665</v>
      </c>
      <c r="D142" s="14">
        <f t="shared" si="7"/>
        <v>3300533.05686278</v>
      </c>
      <c r="E142" s="14">
        <f t="shared" si="0"/>
        <v>22499.6979033115</v>
      </c>
      <c r="F142" s="14">
        <f t="shared" si="1"/>
        <v>15127.4431772877</v>
      </c>
      <c r="G142" s="14">
        <f t="shared" si="2"/>
        <v>7372.25472602378</v>
      </c>
      <c r="H142" s="14">
        <f t="shared" si="3"/>
        <v>3293160.80213676</v>
      </c>
      <c r="I142" s="14">
        <f t="shared" si="4"/>
        <v>0</v>
      </c>
      <c r="J142" s="14">
        <f t="shared" si="5"/>
        <v>22499.6979033115</v>
      </c>
      <c r="K142" s="18"/>
    </row>
    <row r="143" ht="15.75" customHeight="1" spans="2:11">
      <c r="B143" s="2">
        <f t="shared" si="6"/>
        <v>118</v>
      </c>
      <c r="C143" s="17">
        <v>47696</v>
      </c>
      <c r="D143" s="14">
        <f t="shared" si="7"/>
        <v>3293160.80213676</v>
      </c>
      <c r="E143" s="14">
        <f t="shared" si="0"/>
        <v>22499.6979033115</v>
      </c>
      <c r="F143" s="14">
        <f t="shared" si="1"/>
        <v>15093.6536764601</v>
      </c>
      <c r="G143" s="14">
        <f t="shared" si="2"/>
        <v>7406.04422685139</v>
      </c>
      <c r="H143" s="14">
        <f t="shared" si="3"/>
        <v>3285754.75790991</v>
      </c>
      <c r="I143" s="14">
        <f t="shared" si="4"/>
        <v>0</v>
      </c>
      <c r="J143" s="14">
        <f t="shared" si="5"/>
        <v>22499.6979033115</v>
      </c>
      <c r="K143" s="18"/>
    </row>
    <row r="144" ht="15.75" customHeight="1" spans="2:11">
      <c r="B144" s="2">
        <f t="shared" si="6"/>
        <v>119</v>
      </c>
      <c r="C144" s="17">
        <v>47727</v>
      </c>
      <c r="D144" s="14">
        <f t="shared" si="7"/>
        <v>3285754.75790991</v>
      </c>
      <c r="E144" s="14">
        <f t="shared" si="0"/>
        <v>22499.6979033115</v>
      </c>
      <c r="F144" s="14">
        <f t="shared" si="1"/>
        <v>15059.7093070871</v>
      </c>
      <c r="G144" s="14">
        <f t="shared" si="2"/>
        <v>7439.98859622446</v>
      </c>
      <c r="H144" s="14">
        <f t="shared" si="3"/>
        <v>3278314.76931368</v>
      </c>
      <c r="I144" s="14">
        <f t="shared" si="4"/>
        <v>0</v>
      </c>
      <c r="J144" s="14">
        <f t="shared" si="5"/>
        <v>22499.6979033115</v>
      </c>
      <c r="K144" s="18"/>
    </row>
    <row r="145" ht="15.75" customHeight="1" spans="2:11">
      <c r="B145" s="2">
        <f t="shared" si="6"/>
        <v>120</v>
      </c>
      <c r="C145" s="17">
        <v>47757</v>
      </c>
      <c r="D145" s="14">
        <f t="shared" si="7"/>
        <v>3278314.76931368</v>
      </c>
      <c r="E145" s="14">
        <f t="shared" si="0"/>
        <v>22499.6979033115</v>
      </c>
      <c r="F145" s="14">
        <f t="shared" si="1"/>
        <v>15025.6093593544</v>
      </c>
      <c r="G145" s="14">
        <f t="shared" si="2"/>
        <v>7474.08854395715</v>
      </c>
      <c r="H145" s="14">
        <f t="shared" si="3"/>
        <v>3270840.68076972</v>
      </c>
      <c r="I145" s="14">
        <f t="shared" si="4"/>
        <v>0</v>
      </c>
      <c r="J145" s="14">
        <f t="shared" si="5"/>
        <v>22499.6979033115</v>
      </c>
      <c r="K145" s="18"/>
    </row>
    <row r="146" ht="15.75" customHeight="1" spans="2:11">
      <c r="B146" s="2">
        <f t="shared" si="6"/>
        <v>121</v>
      </c>
      <c r="C146" s="17">
        <v>47788</v>
      </c>
      <c r="D146" s="14">
        <f t="shared" si="7"/>
        <v>3270840.68076972</v>
      </c>
      <c r="E146" s="14">
        <f t="shared" si="0"/>
        <v>22499.6979033115</v>
      </c>
      <c r="F146" s="14">
        <f t="shared" si="1"/>
        <v>14991.3531201946</v>
      </c>
      <c r="G146" s="14">
        <f t="shared" si="2"/>
        <v>7508.34478311696</v>
      </c>
      <c r="H146" s="14">
        <f t="shared" si="3"/>
        <v>3263332.33598661</v>
      </c>
      <c r="I146" s="14">
        <f t="shared" si="4"/>
        <v>0</v>
      </c>
      <c r="J146" s="14">
        <f t="shared" si="5"/>
        <v>22499.6979033115</v>
      </c>
      <c r="K146" s="14">
        <f>SUM(I146:I157)</f>
        <v>0</v>
      </c>
    </row>
    <row r="147" ht="15.75" customHeight="1" spans="2:11">
      <c r="B147" s="2">
        <f t="shared" si="6"/>
        <v>122</v>
      </c>
      <c r="C147" s="17">
        <v>47818</v>
      </c>
      <c r="D147" s="14">
        <f t="shared" si="7"/>
        <v>3263332.33598661</v>
      </c>
      <c r="E147" s="14">
        <f t="shared" si="0"/>
        <v>22499.6979033115</v>
      </c>
      <c r="F147" s="14">
        <f t="shared" si="1"/>
        <v>14956.9398732719</v>
      </c>
      <c r="G147" s="14">
        <f t="shared" si="2"/>
        <v>7542.75803003958</v>
      </c>
      <c r="H147" s="14">
        <f t="shared" si="3"/>
        <v>3255789.57795657</v>
      </c>
      <c r="I147" s="14">
        <f t="shared" si="4"/>
        <v>0</v>
      </c>
      <c r="J147" s="14">
        <f t="shared" si="5"/>
        <v>22499.6979033115</v>
      </c>
      <c r="K147" s="18"/>
    </row>
    <row r="148" ht="15.75" customHeight="1" spans="2:11">
      <c r="B148" s="2">
        <f t="shared" si="6"/>
        <v>123</v>
      </c>
      <c r="C148" s="17">
        <v>47849</v>
      </c>
      <c r="D148" s="14">
        <f t="shared" si="7"/>
        <v>3255789.57795657</v>
      </c>
      <c r="E148" s="14">
        <f t="shared" si="0"/>
        <v>22499.6979033115</v>
      </c>
      <c r="F148" s="14">
        <f t="shared" si="1"/>
        <v>14922.3688989676</v>
      </c>
      <c r="G148" s="14">
        <f t="shared" si="2"/>
        <v>7577.32900434392</v>
      </c>
      <c r="H148" s="14">
        <f t="shared" si="3"/>
        <v>3248212.24895222</v>
      </c>
      <c r="I148" s="14">
        <f t="shared" si="4"/>
        <v>0</v>
      </c>
      <c r="J148" s="14">
        <f t="shared" si="5"/>
        <v>22499.6979033115</v>
      </c>
      <c r="K148" s="18"/>
    </row>
    <row r="149" ht="15.75" customHeight="1" spans="2:11">
      <c r="B149" s="2">
        <f t="shared" si="6"/>
        <v>124</v>
      </c>
      <c r="C149" s="17">
        <v>47880</v>
      </c>
      <c r="D149" s="14">
        <f t="shared" si="7"/>
        <v>3248212.24895222</v>
      </c>
      <c r="E149" s="14">
        <f t="shared" si="0"/>
        <v>22499.6979033115</v>
      </c>
      <c r="F149" s="14">
        <f t="shared" si="1"/>
        <v>14887.6394743643</v>
      </c>
      <c r="G149" s="14">
        <f t="shared" si="2"/>
        <v>7612.05842894717</v>
      </c>
      <c r="H149" s="14">
        <f t="shared" si="3"/>
        <v>3240600.19052328</v>
      </c>
      <c r="I149" s="14">
        <f t="shared" si="4"/>
        <v>0</v>
      </c>
      <c r="J149" s="14">
        <f t="shared" si="5"/>
        <v>22499.6979033115</v>
      </c>
      <c r="K149" s="18"/>
    </row>
    <row r="150" ht="15.75" customHeight="1" spans="2:11">
      <c r="B150" s="2">
        <f t="shared" si="6"/>
        <v>125</v>
      </c>
      <c r="C150" s="17">
        <v>47908</v>
      </c>
      <c r="D150" s="14">
        <f t="shared" si="7"/>
        <v>3240600.19052328</v>
      </c>
      <c r="E150" s="14">
        <f t="shared" si="0"/>
        <v>22499.6979033115</v>
      </c>
      <c r="F150" s="14">
        <f t="shared" si="1"/>
        <v>14852.7508732317</v>
      </c>
      <c r="G150" s="14">
        <f t="shared" si="2"/>
        <v>7646.94703007984</v>
      </c>
      <c r="H150" s="14">
        <f t="shared" si="3"/>
        <v>3232953.2434932</v>
      </c>
      <c r="I150" s="14">
        <f t="shared" si="4"/>
        <v>0</v>
      </c>
      <c r="J150" s="14">
        <f t="shared" si="5"/>
        <v>22499.6979033115</v>
      </c>
      <c r="K150" s="18"/>
    </row>
    <row r="151" ht="15.75" customHeight="1" spans="2:11">
      <c r="B151" s="2">
        <f t="shared" si="6"/>
        <v>126</v>
      </c>
      <c r="C151" s="17">
        <v>47939</v>
      </c>
      <c r="D151" s="14">
        <f t="shared" si="7"/>
        <v>3232953.2434932</v>
      </c>
      <c r="E151" s="14">
        <f t="shared" si="0"/>
        <v>22499.6979033115</v>
      </c>
      <c r="F151" s="14">
        <f t="shared" si="1"/>
        <v>14817.7023660105</v>
      </c>
      <c r="G151" s="14">
        <f t="shared" si="2"/>
        <v>7681.99553730104</v>
      </c>
      <c r="H151" s="14">
        <f t="shared" si="3"/>
        <v>3225271.2479559</v>
      </c>
      <c r="I151" s="14">
        <f t="shared" si="4"/>
        <v>0</v>
      </c>
      <c r="J151" s="14">
        <f t="shared" si="5"/>
        <v>22499.6979033115</v>
      </c>
      <c r="K151" s="18"/>
    </row>
    <row r="152" ht="15.75" customHeight="1" spans="2:11">
      <c r="B152" s="2">
        <f t="shared" si="6"/>
        <v>127</v>
      </c>
      <c r="C152" s="17">
        <v>47969</v>
      </c>
      <c r="D152" s="14">
        <f t="shared" si="7"/>
        <v>3225271.2479559</v>
      </c>
      <c r="E152" s="14">
        <f t="shared" si="0"/>
        <v>22499.6979033115</v>
      </c>
      <c r="F152" s="14">
        <f t="shared" si="1"/>
        <v>14782.4932197978</v>
      </c>
      <c r="G152" s="14">
        <f t="shared" si="2"/>
        <v>7717.20468351367</v>
      </c>
      <c r="H152" s="14">
        <f t="shared" si="3"/>
        <v>3217554.04327238</v>
      </c>
      <c r="I152" s="14">
        <f t="shared" si="4"/>
        <v>0</v>
      </c>
      <c r="J152" s="14">
        <f t="shared" si="5"/>
        <v>22499.6979033115</v>
      </c>
      <c r="K152" s="18"/>
    </row>
    <row r="153" ht="15.75" customHeight="1" spans="2:11">
      <c r="B153" s="2">
        <f t="shared" si="6"/>
        <v>128</v>
      </c>
      <c r="C153" s="17">
        <v>48000</v>
      </c>
      <c r="D153" s="14">
        <f t="shared" si="7"/>
        <v>3217554.04327238</v>
      </c>
      <c r="E153" s="14">
        <f t="shared" si="0"/>
        <v>22499.6979033115</v>
      </c>
      <c r="F153" s="14">
        <f t="shared" si="1"/>
        <v>14747.1226983317</v>
      </c>
      <c r="G153" s="14">
        <f t="shared" si="2"/>
        <v>7752.57520497978</v>
      </c>
      <c r="H153" s="14">
        <f t="shared" si="3"/>
        <v>3209801.4680674</v>
      </c>
      <c r="I153" s="14">
        <f t="shared" si="4"/>
        <v>0</v>
      </c>
      <c r="J153" s="14">
        <f t="shared" si="5"/>
        <v>22499.6979033115</v>
      </c>
      <c r="K153" s="18"/>
    </row>
    <row r="154" ht="15.75" customHeight="1" spans="2:11">
      <c r="B154" s="2">
        <f t="shared" si="6"/>
        <v>129</v>
      </c>
      <c r="C154" s="17">
        <v>48030</v>
      </c>
      <c r="D154" s="14">
        <f t="shared" si="7"/>
        <v>3209801.4680674</v>
      </c>
      <c r="E154" s="14">
        <f t="shared" si="0"/>
        <v>22499.6979033115</v>
      </c>
      <c r="F154" s="14">
        <f t="shared" si="1"/>
        <v>14711.5900619756</v>
      </c>
      <c r="G154" s="14">
        <f t="shared" si="2"/>
        <v>7788.10784133594</v>
      </c>
      <c r="H154" s="14">
        <f t="shared" si="3"/>
        <v>3202013.36022607</v>
      </c>
      <c r="I154" s="14">
        <f t="shared" si="4"/>
        <v>0</v>
      </c>
      <c r="J154" s="14">
        <f t="shared" si="5"/>
        <v>22499.6979033115</v>
      </c>
      <c r="K154" s="18"/>
    </row>
    <row r="155" ht="15.75" customHeight="1" spans="2:11">
      <c r="B155" s="2">
        <f t="shared" si="6"/>
        <v>130</v>
      </c>
      <c r="C155" s="17">
        <v>48061</v>
      </c>
      <c r="D155" s="14">
        <f t="shared" si="7"/>
        <v>3202013.36022607</v>
      </c>
      <c r="E155" s="14">
        <f t="shared" si="0"/>
        <v>22499.6979033115</v>
      </c>
      <c r="F155" s="14">
        <f t="shared" si="1"/>
        <v>14675.8945677028</v>
      </c>
      <c r="G155" s="14">
        <f t="shared" si="2"/>
        <v>7823.80333560873</v>
      </c>
      <c r="H155" s="14">
        <f t="shared" si="3"/>
        <v>3194189.55689046</v>
      </c>
      <c r="I155" s="14">
        <f t="shared" si="4"/>
        <v>0</v>
      </c>
      <c r="J155" s="14">
        <f t="shared" si="5"/>
        <v>22499.6979033115</v>
      </c>
      <c r="K155" s="18"/>
    </row>
    <row r="156" ht="15.75" customHeight="1" spans="2:11">
      <c r="B156" s="2">
        <f t="shared" si="6"/>
        <v>131</v>
      </c>
      <c r="C156" s="17">
        <v>48092</v>
      </c>
      <c r="D156" s="14">
        <f t="shared" si="7"/>
        <v>3194189.55689046</v>
      </c>
      <c r="E156" s="14">
        <f t="shared" si="0"/>
        <v>22499.6979033115</v>
      </c>
      <c r="F156" s="14">
        <f t="shared" si="1"/>
        <v>14640.0354690812</v>
      </c>
      <c r="G156" s="14">
        <f t="shared" si="2"/>
        <v>7859.66243423027</v>
      </c>
      <c r="H156" s="14">
        <f t="shared" si="3"/>
        <v>3186329.89445623</v>
      </c>
      <c r="I156" s="14">
        <f t="shared" si="4"/>
        <v>0</v>
      </c>
      <c r="J156" s="14">
        <f t="shared" si="5"/>
        <v>22499.6979033115</v>
      </c>
      <c r="K156" s="18"/>
    </row>
    <row r="157" ht="15.75" customHeight="1" spans="2:11">
      <c r="B157" s="2">
        <f t="shared" si="6"/>
        <v>132</v>
      </c>
      <c r="C157" s="17">
        <v>48122</v>
      </c>
      <c r="D157" s="14">
        <f t="shared" si="7"/>
        <v>3186329.89445623</v>
      </c>
      <c r="E157" s="14">
        <f t="shared" si="0"/>
        <v>22499.6979033115</v>
      </c>
      <c r="F157" s="14">
        <f t="shared" si="1"/>
        <v>14604.0120162577</v>
      </c>
      <c r="G157" s="14">
        <f t="shared" si="2"/>
        <v>7895.68588705382</v>
      </c>
      <c r="H157" s="14">
        <f t="shared" si="3"/>
        <v>3178434.20856917</v>
      </c>
      <c r="I157" s="14">
        <f t="shared" si="4"/>
        <v>0</v>
      </c>
      <c r="J157" s="14">
        <f t="shared" si="5"/>
        <v>22499.6979033115</v>
      </c>
      <c r="K157" s="18"/>
    </row>
    <row r="158" ht="15.75" customHeight="1" spans="2:11">
      <c r="B158" s="2">
        <f t="shared" si="6"/>
        <v>133</v>
      </c>
      <c r="C158" s="17">
        <v>48153</v>
      </c>
      <c r="D158" s="14">
        <f t="shared" si="7"/>
        <v>3178434.20856917</v>
      </c>
      <c r="E158" s="14">
        <f t="shared" si="0"/>
        <v>22499.6979033115</v>
      </c>
      <c r="F158" s="14">
        <f t="shared" si="1"/>
        <v>14567.823455942</v>
      </c>
      <c r="G158" s="14">
        <f t="shared" si="2"/>
        <v>7931.87444736948</v>
      </c>
      <c r="H158" s="14">
        <f t="shared" si="3"/>
        <v>3170502.3341218</v>
      </c>
      <c r="I158" s="14">
        <f t="shared" si="4"/>
        <v>0</v>
      </c>
      <c r="J158" s="14">
        <f t="shared" si="5"/>
        <v>22499.6979033115</v>
      </c>
      <c r="K158" s="14">
        <f>SUM(I158:I169)</f>
        <v>0</v>
      </c>
    </row>
    <row r="159" ht="15.75" customHeight="1" spans="2:11">
      <c r="B159" s="2">
        <f t="shared" si="6"/>
        <v>134</v>
      </c>
      <c r="C159" s="17">
        <v>48183</v>
      </c>
      <c r="D159" s="14">
        <f t="shared" si="7"/>
        <v>3170502.3341218</v>
      </c>
      <c r="E159" s="14">
        <f t="shared" si="0"/>
        <v>22499.6979033115</v>
      </c>
      <c r="F159" s="14">
        <f t="shared" si="1"/>
        <v>14531.4690313916</v>
      </c>
      <c r="G159" s="14">
        <f t="shared" si="2"/>
        <v>7968.22887191993</v>
      </c>
      <c r="H159" s="14">
        <f t="shared" si="3"/>
        <v>3162534.10524988</v>
      </c>
      <c r="I159" s="14">
        <f t="shared" si="4"/>
        <v>0</v>
      </c>
      <c r="J159" s="14">
        <f t="shared" si="5"/>
        <v>22499.6979033115</v>
      </c>
      <c r="K159" s="18"/>
    </row>
    <row r="160" ht="15.75" customHeight="1" spans="2:11">
      <c r="B160" s="2">
        <f t="shared" si="6"/>
        <v>135</v>
      </c>
      <c r="C160" s="17">
        <v>48214</v>
      </c>
      <c r="D160" s="14">
        <f t="shared" si="7"/>
        <v>3162534.10524988</v>
      </c>
      <c r="E160" s="14">
        <f t="shared" si="0"/>
        <v>22499.6979033115</v>
      </c>
      <c r="F160" s="14">
        <f t="shared" si="1"/>
        <v>14494.9479823953</v>
      </c>
      <c r="G160" s="14">
        <f t="shared" si="2"/>
        <v>8004.74992091623</v>
      </c>
      <c r="H160" s="14">
        <f t="shared" si="3"/>
        <v>3154529.35532897</v>
      </c>
      <c r="I160" s="14">
        <f t="shared" si="4"/>
        <v>0</v>
      </c>
      <c r="J160" s="14">
        <f t="shared" si="5"/>
        <v>22499.6979033115</v>
      </c>
      <c r="K160" s="18"/>
    </row>
    <row r="161" ht="15.75" customHeight="1" spans="2:11">
      <c r="B161" s="2">
        <f t="shared" si="6"/>
        <v>136</v>
      </c>
      <c r="C161" s="17">
        <v>48245</v>
      </c>
      <c r="D161" s="14">
        <f t="shared" si="7"/>
        <v>3154529.35532897</v>
      </c>
      <c r="E161" s="14">
        <f t="shared" si="0"/>
        <v>22499.6979033115</v>
      </c>
      <c r="F161" s="14">
        <f t="shared" si="1"/>
        <v>14458.2595452578</v>
      </c>
      <c r="G161" s="14">
        <f t="shared" si="2"/>
        <v>8041.43835805376</v>
      </c>
      <c r="H161" s="14">
        <f t="shared" si="3"/>
        <v>3146487.91697091</v>
      </c>
      <c r="I161" s="14">
        <f t="shared" si="4"/>
        <v>0</v>
      </c>
      <c r="J161" s="14">
        <f t="shared" si="5"/>
        <v>22499.6979033115</v>
      </c>
      <c r="K161" s="18"/>
    </row>
    <row r="162" ht="15.75" customHeight="1" spans="2:11">
      <c r="B162" s="2">
        <f t="shared" si="6"/>
        <v>137</v>
      </c>
      <c r="C162" s="17">
        <v>48274</v>
      </c>
      <c r="D162" s="14">
        <f t="shared" si="7"/>
        <v>3146487.91697091</v>
      </c>
      <c r="E162" s="14">
        <f t="shared" si="0"/>
        <v>22499.6979033115</v>
      </c>
      <c r="F162" s="14">
        <f t="shared" si="1"/>
        <v>14421.4029527833</v>
      </c>
      <c r="G162" s="14">
        <f t="shared" si="2"/>
        <v>8078.29495052817</v>
      </c>
      <c r="H162" s="14">
        <f t="shared" si="3"/>
        <v>3138409.62202039</v>
      </c>
      <c r="I162" s="14">
        <f t="shared" si="4"/>
        <v>0</v>
      </c>
      <c r="J162" s="14">
        <f t="shared" si="5"/>
        <v>22499.6979033115</v>
      </c>
      <c r="K162" s="18"/>
    </row>
    <row r="163" ht="15.75" customHeight="1" spans="2:11">
      <c r="B163" s="2">
        <f t="shared" si="6"/>
        <v>138</v>
      </c>
      <c r="C163" s="17">
        <v>48305</v>
      </c>
      <c r="D163" s="14">
        <f t="shared" si="7"/>
        <v>3138409.62202039</v>
      </c>
      <c r="E163" s="14">
        <f t="shared" si="0"/>
        <v>22499.6979033115</v>
      </c>
      <c r="F163" s="14">
        <f t="shared" si="1"/>
        <v>14384.3774342601</v>
      </c>
      <c r="G163" s="14">
        <f t="shared" si="2"/>
        <v>8115.32046905143</v>
      </c>
      <c r="H163" s="14">
        <f t="shared" si="3"/>
        <v>3130294.30155133</v>
      </c>
      <c r="I163" s="14">
        <f t="shared" si="4"/>
        <v>0</v>
      </c>
      <c r="J163" s="14">
        <f t="shared" si="5"/>
        <v>22499.6979033115</v>
      </c>
      <c r="K163" s="18"/>
    </row>
    <row r="164" ht="15.75" customHeight="1" spans="2:11">
      <c r="B164" s="2">
        <f t="shared" si="6"/>
        <v>139</v>
      </c>
      <c r="C164" s="17">
        <v>48335</v>
      </c>
      <c r="D164" s="14">
        <f t="shared" si="7"/>
        <v>3130294.30155133</v>
      </c>
      <c r="E164" s="14">
        <f t="shared" si="0"/>
        <v>22499.6979033115</v>
      </c>
      <c r="F164" s="14">
        <f t="shared" si="1"/>
        <v>14347.1822154436</v>
      </c>
      <c r="G164" s="14">
        <f t="shared" si="2"/>
        <v>8152.51568786791</v>
      </c>
      <c r="H164" s="14">
        <f t="shared" si="3"/>
        <v>3122141.78586347</v>
      </c>
      <c r="I164" s="14">
        <f t="shared" si="4"/>
        <v>0</v>
      </c>
      <c r="J164" s="14">
        <f t="shared" si="5"/>
        <v>22499.6979033115</v>
      </c>
      <c r="K164" s="18"/>
    </row>
    <row r="165" ht="15.75" customHeight="1" spans="2:11">
      <c r="B165" s="2">
        <f t="shared" si="6"/>
        <v>140</v>
      </c>
      <c r="C165" s="17">
        <v>48366</v>
      </c>
      <c r="D165" s="14">
        <f t="shared" si="7"/>
        <v>3122141.78586347</v>
      </c>
      <c r="E165" s="14">
        <f t="shared" si="0"/>
        <v>22499.6979033115</v>
      </c>
      <c r="F165" s="14">
        <f t="shared" si="1"/>
        <v>14309.8165185409</v>
      </c>
      <c r="G165" s="14">
        <f t="shared" si="2"/>
        <v>8189.88138477064</v>
      </c>
      <c r="H165" s="14">
        <f t="shared" si="3"/>
        <v>3113951.9044787</v>
      </c>
      <c r="I165" s="14">
        <f t="shared" si="4"/>
        <v>0</v>
      </c>
      <c r="J165" s="14">
        <f t="shared" si="5"/>
        <v>22499.6979033115</v>
      </c>
      <c r="K165" s="18"/>
    </row>
    <row r="166" ht="15.75" customHeight="1" spans="2:11">
      <c r="B166" s="2">
        <f t="shared" si="6"/>
        <v>141</v>
      </c>
      <c r="C166" s="17">
        <v>48396</v>
      </c>
      <c r="D166" s="14">
        <f t="shared" si="7"/>
        <v>3113951.9044787</v>
      </c>
      <c r="E166" s="14">
        <f t="shared" si="0"/>
        <v>22499.6979033115</v>
      </c>
      <c r="F166" s="14">
        <f t="shared" si="1"/>
        <v>14272.279562194</v>
      </c>
      <c r="G166" s="14">
        <f t="shared" si="2"/>
        <v>8227.41834111751</v>
      </c>
      <c r="H166" s="14">
        <f t="shared" si="3"/>
        <v>3105724.48613758</v>
      </c>
      <c r="I166" s="14">
        <f t="shared" si="4"/>
        <v>0</v>
      </c>
      <c r="J166" s="14">
        <f t="shared" si="5"/>
        <v>22499.6979033115</v>
      </c>
      <c r="K166" s="18"/>
    </row>
    <row r="167" ht="15.75" customHeight="1" spans="2:11">
      <c r="B167" s="2">
        <f t="shared" si="6"/>
        <v>142</v>
      </c>
      <c r="C167" s="17">
        <v>48427</v>
      </c>
      <c r="D167" s="14">
        <f t="shared" si="7"/>
        <v>3105724.48613758</v>
      </c>
      <c r="E167" s="14">
        <f t="shared" si="0"/>
        <v>22499.6979033115</v>
      </c>
      <c r="F167" s="14">
        <f t="shared" si="1"/>
        <v>14234.5705614639</v>
      </c>
      <c r="G167" s="14">
        <f t="shared" si="2"/>
        <v>8265.12734184763</v>
      </c>
      <c r="H167" s="14">
        <f t="shared" si="3"/>
        <v>3097459.35879573</v>
      </c>
      <c r="I167" s="14">
        <f t="shared" si="4"/>
        <v>0</v>
      </c>
      <c r="J167" s="14">
        <f t="shared" si="5"/>
        <v>22499.6979033115</v>
      </c>
      <c r="K167" s="18"/>
    </row>
    <row r="168" ht="15.75" customHeight="1" spans="2:11">
      <c r="B168" s="2">
        <f t="shared" si="6"/>
        <v>143</v>
      </c>
      <c r="C168" s="17">
        <v>48458</v>
      </c>
      <c r="D168" s="14">
        <f t="shared" si="7"/>
        <v>3097459.35879573</v>
      </c>
      <c r="E168" s="14">
        <f t="shared" si="0"/>
        <v>22499.6979033115</v>
      </c>
      <c r="F168" s="14">
        <f t="shared" si="1"/>
        <v>14196.6887278138</v>
      </c>
      <c r="G168" s="14">
        <f t="shared" si="2"/>
        <v>8303.00917549776</v>
      </c>
      <c r="H168" s="14">
        <f t="shared" si="3"/>
        <v>3089156.34962023</v>
      </c>
      <c r="I168" s="14">
        <f t="shared" si="4"/>
        <v>0</v>
      </c>
      <c r="J168" s="14">
        <f t="shared" si="5"/>
        <v>22499.6979033115</v>
      </c>
      <c r="K168" s="18"/>
    </row>
    <row r="169" ht="15.75" customHeight="1" spans="2:11">
      <c r="B169" s="2">
        <f t="shared" si="6"/>
        <v>144</v>
      </c>
      <c r="C169" s="17">
        <v>48488</v>
      </c>
      <c r="D169" s="14">
        <f t="shared" si="7"/>
        <v>3089156.34962023</v>
      </c>
      <c r="E169" s="14">
        <f t="shared" si="0"/>
        <v>22499.6979033115</v>
      </c>
      <c r="F169" s="14">
        <f t="shared" si="1"/>
        <v>14158.6332690927</v>
      </c>
      <c r="G169" s="14">
        <f t="shared" si="2"/>
        <v>8341.06463421879</v>
      </c>
      <c r="H169" s="14">
        <f t="shared" si="3"/>
        <v>3080815.28498601</v>
      </c>
      <c r="I169" s="14">
        <f t="shared" si="4"/>
        <v>0</v>
      </c>
      <c r="J169" s="14">
        <f t="shared" si="5"/>
        <v>22499.6979033115</v>
      </c>
      <c r="K169" s="18"/>
    </row>
    <row r="170" ht="15.75" customHeight="1" spans="2:11">
      <c r="B170" s="2">
        <f t="shared" si="6"/>
        <v>145</v>
      </c>
      <c r="C170" s="17">
        <v>48519</v>
      </c>
      <c r="D170" s="14">
        <f t="shared" si="7"/>
        <v>3080815.28498601</v>
      </c>
      <c r="E170" s="14">
        <f t="shared" si="0"/>
        <v>22499.6979033115</v>
      </c>
      <c r="F170" s="14">
        <f t="shared" si="1"/>
        <v>14120.4033895192</v>
      </c>
      <c r="G170" s="14">
        <f t="shared" si="2"/>
        <v>8379.2945137923</v>
      </c>
      <c r="H170" s="14">
        <f t="shared" si="3"/>
        <v>3072435.99047222</v>
      </c>
      <c r="I170" s="14">
        <f t="shared" si="4"/>
        <v>0</v>
      </c>
      <c r="J170" s="14">
        <f t="shared" si="5"/>
        <v>22499.6979033115</v>
      </c>
      <c r="K170" s="14">
        <f>SUM(I170:I181)</f>
        <v>0</v>
      </c>
    </row>
    <row r="171" ht="15.75" customHeight="1" spans="2:11">
      <c r="B171" s="2">
        <f t="shared" si="6"/>
        <v>146</v>
      </c>
      <c r="C171" s="17">
        <v>48549</v>
      </c>
      <c r="D171" s="14">
        <f t="shared" si="7"/>
        <v>3072435.99047222</v>
      </c>
      <c r="E171" s="14">
        <f t="shared" si="0"/>
        <v>22499.6979033115</v>
      </c>
      <c r="F171" s="14">
        <f t="shared" si="1"/>
        <v>14081.9982896643</v>
      </c>
      <c r="G171" s="14">
        <f t="shared" si="2"/>
        <v>8417.69961364718</v>
      </c>
      <c r="H171" s="14">
        <f t="shared" si="3"/>
        <v>3064018.29085857</v>
      </c>
      <c r="I171" s="14">
        <f t="shared" si="4"/>
        <v>0</v>
      </c>
      <c r="J171" s="14">
        <f t="shared" si="5"/>
        <v>22499.6979033115</v>
      </c>
      <c r="K171" s="18"/>
    </row>
    <row r="172" ht="15.75" customHeight="1" spans="2:11">
      <c r="B172" s="2">
        <f t="shared" si="6"/>
        <v>147</v>
      </c>
      <c r="C172" s="17">
        <v>48580</v>
      </c>
      <c r="D172" s="14">
        <f t="shared" si="7"/>
        <v>3064018.29085857</v>
      </c>
      <c r="E172" s="14">
        <f t="shared" si="0"/>
        <v>22499.6979033115</v>
      </c>
      <c r="F172" s="14">
        <f t="shared" si="1"/>
        <v>14043.4171664351</v>
      </c>
      <c r="G172" s="14">
        <f t="shared" si="2"/>
        <v>8456.28073687639</v>
      </c>
      <c r="H172" s="14">
        <f t="shared" si="3"/>
        <v>3055562.0101217</v>
      </c>
      <c r="I172" s="14">
        <f t="shared" si="4"/>
        <v>0</v>
      </c>
      <c r="J172" s="14">
        <f t="shared" si="5"/>
        <v>22499.6979033115</v>
      </c>
      <c r="K172" s="18"/>
    </row>
    <row r="173" ht="15.75" customHeight="1" spans="2:11">
      <c r="B173" s="2">
        <f t="shared" si="6"/>
        <v>148</v>
      </c>
      <c r="C173" s="17">
        <v>48611</v>
      </c>
      <c r="D173" s="14">
        <f t="shared" si="7"/>
        <v>3055562.0101217</v>
      </c>
      <c r="E173" s="14">
        <f t="shared" si="0"/>
        <v>22499.6979033115</v>
      </c>
      <c r="F173" s="14">
        <f t="shared" si="1"/>
        <v>14004.6592130578</v>
      </c>
      <c r="G173" s="14">
        <f t="shared" si="2"/>
        <v>8495.03869025374</v>
      </c>
      <c r="H173" s="14">
        <f t="shared" si="3"/>
        <v>3047066.97143144</v>
      </c>
      <c r="I173" s="14">
        <f t="shared" si="4"/>
        <v>0</v>
      </c>
      <c r="J173" s="14">
        <f t="shared" si="5"/>
        <v>22499.6979033115</v>
      </c>
      <c r="K173" s="18"/>
    </row>
    <row r="174" ht="15.75" customHeight="1" spans="2:11">
      <c r="B174" s="2">
        <f t="shared" si="6"/>
        <v>149</v>
      </c>
      <c r="C174" s="17">
        <v>48639</v>
      </c>
      <c r="D174" s="14">
        <f t="shared" si="7"/>
        <v>3047066.97143144</v>
      </c>
      <c r="E174" s="14">
        <f t="shared" si="0"/>
        <v>22499.6979033115</v>
      </c>
      <c r="F174" s="14">
        <f t="shared" si="1"/>
        <v>13965.7236190608</v>
      </c>
      <c r="G174" s="14">
        <f t="shared" si="2"/>
        <v>8533.97428425074</v>
      </c>
      <c r="H174" s="14">
        <f t="shared" si="3"/>
        <v>3038532.99714719</v>
      </c>
      <c r="I174" s="14">
        <f t="shared" si="4"/>
        <v>0</v>
      </c>
      <c r="J174" s="14">
        <f t="shared" si="5"/>
        <v>22499.6979033115</v>
      </c>
      <c r="K174" s="18"/>
    </row>
    <row r="175" ht="15.75" customHeight="1" spans="2:11">
      <c r="B175" s="2">
        <f t="shared" si="6"/>
        <v>150</v>
      </c>
      <c r="C175" s="17">
        <v>48670</v>
      </c>
      <c r="D175" s="14">
        <f t="shared" si="7"/>
        <v>3038532.99714719</v>
      </c>
      <c r="E175" s="14">
        <f t="shared" si="0"/>
        <v>22499.6979033115</v>
      </c>
      <c r="F175" s="14">
        <f t="shared" si="1"/>
        <v>13926.609570258</v>
      </c>
      <c r="G175" s="14">
        <f t="shared" si="2"/>
        <v>8573.08833305355</v>
      </c>
      <c r="H175" s="14">
        <f t="shared" si="3"/>
        <v>3029959.90881414</v>
      </c>
      <c r="I175" s="14">
        <f t="shared" si="4"/>
        <v>0</v>
      </c>
      <c r="J175" s="14">
        <f t="shared" si="5"/>
        <v>22499.6979033115</v>
      </c>
      <c r="K175" s="18"/>
    </row>
    <row r="176" ht="15.75" customHeight="1" spans="2:11">
      <c r="B176" s="2">
        <f t="shared" si="6"/>
        <v>151</v>
      </c>
      <c r="C176" s="17">
        <v>48700</v>
      </c>
      <c r="D176" s="14">
        <f t="shared" si="7"/>
        <v>3029959.90881414</v>
      </c>
      <c r="E176" s="14">
        <f t="shared" si="0"/>
        <v>22499.6979033115</v>
      </c>
      <c r="F176" s="14">
        <f t="shared" si="1"/>
        <v>13887.3162487315</v>
      </c>
      <c r="G176" s="14">
        <f t="shared" si="2"/>
        <v>8612.38165458005</v>
      </c>
      <c r="H176" s="14">
        <f t="shared" si="3"/>
        <v>3021347.52715956</v>
      </c>
      <c r="I176" s="14">
        <f t="shared" si="4"/>
        <v>0</v>
      </c>
      <c r="J176" s="14">
        <f t="shared" si="5"/>
        <v>22499.6979033115</v>
      </c>
      <c r="K176" s="18"/>
    </row>
    <row r="177" ht="15.75" customHeight="1" spans="2:11">
      <c r="B177" s="2">
        <f t="shared" si="6"/>
        <v>152</v>
      </c>
      <c r="C177" s="17">
        <v>48731</v>
      </c>
      <c r="D177" s="14">
        <f t="shared" si="7"/>
        <v>3021347.52715956</v>
      </c>
      <c r="E177" s="14">
        <f t="shared" si="0"/>
        <v>22499.6979033115</v>
      </c>
      <c r="F177" s="14">
        <f t="shared" si="1"/>
        <v>13847.8428328146</v>
      </c>
      <c r="G177" s="14">
        <f t="shared" si="2"/>
        <v>8651.85507049687</v>
      </c>
      <c r="H177" s="14">
        <f t="shared" si="3"/>
        <v>3012695.67208906</v>
      </c>
      <c r="I177" s="14">
        <f t="shared" si="4"/>
        <v>0</v>
      </c>
      <c r="J177" s="14">
        <f t="shared" si="5"/>
        <v>22499.6979033115</v>
      </c>
      <c r="K177" s="18"/>
    </row>
    <row r="178" ht="15.75" customHeight="1" spans="2:11">
      <c r="B178" s="2">
        <f t="shared" si="6"/>
        <v>153</v>
      </c>
      <c r="C178" s="17">
        <v>48761</v>
      </c>
      <c r="D178" s="14">
        <f t="shared" si="7"/>
        <v>3012695.67208906</v>
      </c>
      <c r="E178" s="14">
        <f t="shared" si="0"/>
        <v>22499.6979033115</v>
      </c>
      <c r="F178" s="14">
        <f t="shared" si="1"/>
        <v>13808.1884970749</v>
      </c>
      <c r="G178" s="14">
        <f t="shared" si="2"/>
        <v>8691.50940623665</v>
      </c>
      <c r="H178" s="14">
        <f t="shared" si="3"/>
        <v>3004004.16268283</v>
      </c>
      <c r="I178" s="14">
        <f t="shared" si="4"/>
        <v>0</v>
      </c>
      <c r="J178" s="14">
        <f t="shared" si="5"/>
        <v>22499.6979033115</v>
      </c>
      <c r="K178" s="18"/>
    </row>
    <row r="179" ht="15.75" customHeight="1" spans="2:11">
      <c r="B179" s="2">
        <f t="shared" si="6"/>
        <v>154</v>
      </c>
      <c r="C179" s="17">
        <v>48792</v>
      </c>
      <c r="D179" s="14">
        <f t="shared" si="7"/>
        <v>3004004.16268283</v>
      </c>
      <c r="E179" s="14">
        <f t="shared" si="0"/>
        <v>22499.6979033115</v>
      </c>
      <c r="F179" s="14">
        <f t="shared" si="1"/>
        <v>13768.3524122963</v>
      </c>
      <c r="G179" s="14">
        <f t="shared" si="2"/>
        <v>8731.34549101524</v>
      </c>
      <c r="H179" s="14">
        <f t="shared" si="3"/>
        <v>2995272.81719181</v>
      </c>
      <c r="I179" s="14">
        <f t="shared" si="4"/>
        <v>0</v>
      </c>
      <c r="J179" s="14">
        <f t="shared" si="5"/>
        <v>22499.6979033115</v>
      </c>
      <c r="K179" s="18"/>
    </row>
    <row r="180" ht="15.75" customHeight="1" spans="2:11">
      <c r="B180" s="2">
        <f t="shared" si="6"/>
        <v>155</v>
      </c>
      <c r="C180" s="17">
        <v>48823</v>
      </c>
      <c r="D180" s="14">
        <f t="shared" si="7"/>
        <v>2995272.81719181</v>
      </c>
      <c r="E180" s="14">
        <f t="shared" si="0"/>
        <v>22499.6979033115</v>
      </c>
      <c r="F180" s="14">
        <f t="shared" si="1"/>
        <v>13728.3337454625</v>
      </c>
      <c r="G180" s="14">
        <f t="shared" si="2"/>
        <v>8771.36415784906</v>
      </c>
      <c r="H180" s="14">
        <f t="shared" si="3"/>
        <v>2986501.45303396</v>
      </c>
      <c r="I180" s="14">
        <f t="shared" si="4"/>
        <v>0</v>
      </c>
      <c r="J180" s="14">
        <f t="shared" si="5"/>
        <v>22499.6979033115</v>
      </c>
      <c r="K180" s="18"/>
    </row>
    <row r="181" ht="15.75" customHeight="1" spans="2:11">
      <c r="B181" s="2">
        <f t="shared" si="6"/>
        <v>156</v>
      </c>
      <c r="C181" s="17">
        <v>48853</v>
      </c>
      <c r="D181" s="14">
        <f t="shared" si="7"/>
        <v>2986501.45303396</v>
      </c>
      <c r="E181" s="14">
        <f t="shared" si="0"/>
        <v>22499.6979033115</v>
      </c>
      <c r="F181" s="14">
        <f t="shared" si="1"/>
        <v>13688.131659739</v>
      </c>
      <c r="G181" s="14">
        <f t="shared" si="2"/>
        <v>8811.56624357253</v>
      </c>
      <c r="H181" s="14">
        <f t="shared" si="3"/>
        <v>2977689.88679039</v>
      </c>
      <c r="I181" s="14">
        <f t="shared" si="4"/>
        <v>0</v>
      </c>
      <c r="J181" s="14">
        <f t="shared" si="5"/>
        <v>22499.6979033115</v>
      </c>
      <c r="K181" s="18"/>
    </row>
    <row r="182" ht="15.75" customHeight="1" spans="2:11">
      <c r="B182" s="2">
        <f t="shared" si="6"/>
        <v>157</v>
      </c>
      <c r="C182" s="17">
        <v>48884</v>
      </c>
      <c r="D182" s="14">
        <f t="shared" si="7"/>
        <v>2977689.88679039</v>
      </c>
      <c r="E182" s="14">
        <f t="shared" si="0"/>
        <v>22499.6979033115</v>
      </c>
      <c r="F182" s="14">
        <f t="shared" si="1"/>
        <v>13647.7453144559</v>
      </c>
      <c r="G182" s="14">
        <f t="shared" si="2"/>
        <v>8851.95258885557</v>
      </c>
      <c r="H182" s="14">
        <f t="shared" si="3"/>
        <v>2968837.93420153</v>
      </c>
      <c r="I182" s="14">
        <f t="shared" si="4"/>
        <v>0</v>
      </c>
      <c r="J182" s="14">
        <f t="shared" si="5"/>
        <v>22499.6979033115</v>
      </c>
      <c r="K182" s="14">
        <f>SUM(I182:I193)</f>
        <v>0</v>
      </c>
    </row>
    <row r="183" ht="15.75" customHeight="1" spans="2:11">
      <c r="B183" s="2">
        <f t="shared" si="6"/>
        <v>158</v>
      </c>
      <c r="C183" s="17">
        <v>48914</v>
      </c>
      <c r="D183" s="14">
        <f t="shared" si="7"/>
        <v>2968837.93420153</v>
      </c>
      <c r="E183" s="14">
        <f t="shared" si="0"/>
        <v>22499.6979033115</v>
      </c>
      <c r="F183" s="14">
        <f t="shared" si="1"/>
        <v>13607.1738650904</v>
      </c>
      <c r="G183" s="14">
        <f t="shared" si="2"/>
        <v>8892.52403822116</v>
      </c>
      <c r="H183" s="14">
        <f t="shared" si="3"/>
        <v>2959945.41016331</v>
      </c>
      <c r="I183" s="14">
        <f t="shared" si="4"/>
        <v>0</v>
      </c>
      <c r="J183" s="14">
        <f t="shared" si="5"/>
        <v>22499.6979033115</v>
      </c>
      <c r="K183" s="18"/>
    </row>
    <row r="184" ht="15.75" customHeight="1" spans="2:11">
      <c r="B184" s="2">
        <f t="shared" si="6"/>
        <v>159</v>
      </c>
      <c r="C184" s="17">
        <v>48945</v>
      </c>
      <c r="D184" s="14">
        <f t="shared" si="7"/>
        <v>2959945.41016331</v>
      </c>
      <c r="E184" s="14">
        <f t="shared" si="0"/>
        <v>22499.6979033115</v>
      </c>
      <c r="F184" s="14">
        <f t="shared" si="1"/>
        <v>13566.4164632485</v>
      </c>
      <c r="G184" s="14">
        <f t="shared" si="2"/>
        <v>8933.28144006301</v>
      </c>
      <c r="H184" s="14">
        <f t="shared" si="3"/>
        <v>2951012.12872325</v>
      </c>
      <c r="I184" s="14">
        <f t="shared" si="4"/>
        <v>0</v>
      </c>
      <c r="J184" s="14">
        <f t="shared" si="5"/>
        <v>22499.6979033115</v>
      </c>
      <c r="K184" s="18"/>
    </row>
    <row r="185" ht="15.75" customHeight="1" spans="2:11">
      <c r="B185" s="2">
        <f t="shared" si="6"/>
        <v>160</v>
      </c>
      <c r="C185" s="17">
        <v>48976</v>
      </c>
      <c r="D185" s="14">
        <f t="shared" si="7"/>
        <v>2951012.12872325</v>
      </c>
      <c r="E185" s="14">
        <f t="shared" si="0"/>
        <v>22499.6979033115</v>
      </c>
      <c r="F185" s="14">
        <f t="shared" si="1"/>
        <v>13525.4722566482</v>
      </c>
      <c r="G185" s="14">
        <f t="shared" si="2"/>
        <v>8974.2256466633</v>
      </c>
      <c r="H185" s="14">
        <f t="shared" si="3"/>
        <v>2942037.90307659</v>
      </c>
      <c r="I185" s="14">
        <f t="shared" si="4"/>
        <v>0</v>
      </c>
      <c r="J185" s="14">
        <f t="shared" si="5"/>
        <v>22499.6979033115</v>
      </c>
      <c r="K185" s="18"/>
    </row>
    <row r="186" ht="15.75" customHeight="1" spans="2:11">
      <c r="B186" s="2">
        <f t="shared" si="6"/>
        <v>161</v>
      </c>
      <c r="C186" s="17">
        <v>49004</v>
      </c>
      <c r="D186" s="14">
        <f t="shared" si="7"/>
        <v>2942037.90307659</v>
      </c>
      <c r="E186" s="14">
        <f t="shared" si="0"/>
        <v>22499.6979033115</v>
      </c>
      <c r="F186" s="14">
        <f t="shared" si="1"/>
        <v>13484.340389101</v>
      </c>
      <c r="G186" s="14">
        <f t="shared" si="2"/>
        <v>9015.3575142105</v>
      </c>
      <c r="H186" s="14">
        <f t="shared" si="3"/>
        <v>2933022.54556238</v>
      </c>
      <c r="I186" s="14">
        <f t="shared" si="4"/>
        <v>0</v>
      </c>
      <c r="J186" s="14">
        <f t="shared" si="5"/>
        <v>22499.6979033115</v>
      </c>
      <c r="K186" s="18"/>
    </row>
    <row r="187" ht="15.75" customHeight="1" spans="2:11">
      <c r="B187" s="2">
        <f t="shared" si="6"/>
        <v>162</v>
      </c>
      <c r="C187" s="17">
        <v>49035</v>
      </c>
      <c r="D187" s="14">
        <f t="shared" si="7"/>
        <v>2933022.54556238</v>
      </c>
      <c r="E187" s="14">
        <f t="shared" si="0"/>
        <v>22499.6979033115</v>
      </c>
      <c r="F187" s="14">
        <f t="shared" si="1"/>
        <v>13443.0200004942</v>
      </c>
      <c r="G187" s="14">
        <f t="shared" si="2"/>
        <v>9056.6779028173</v>
      </c>
      <c r="H187" s="14">
        <f t="shared" si="3"/>
        <v>2923965.86765956</v>
      </c>
      <c r="I187" s="14">
        <f t="shared" si="4"/>
        <v>0</v>
      </c>
      <c r="J187" s="14">
        <f t="shared" si="5"/>
        <v>22499.6979033115</v>
      </c>
      <c r="K187" s="18"/>
    </row>
    <row r="188" ht="15.75" customHeight="1" spans="2:11">
      <c r="B188" s="2">
        <f t="shared" si="6"/>
        <v>163</v>
      </c>
      <c r="C188" s="17">
        <v>49065</v>
      </c>
      <c r="D188" s="14">
        <f t="shared" si="7"/>
        <v>2923965.86765956</v>
      </c>
      <c r="E188" s="14">
        <f t="shared" si="0"/>
        <v>22499.6979033115</v>
      </c>
      <c r="F188" s="14">
        <f t="shared" si="1"/>
        <v>13401.510226773</v>
      </c>
      <c r="G188" s="14">
        <f t="shared" si="2"/>
        <v>9098.18767653855</v>
      </c>
      <c r="H188" s="14">
        <f t="shared" si="3"/>
        <v>2914867.67998302</v>
      </c>
      <c r="I188" s="14">
        <f t="shared" si="4"/>
        <v>0</v>
      </c>
      <c r="J188" s="14">
        <f t="shared" si="5"/>
        <v>22499.6979033115</v>
      </c>
      <c r="K188" s="18"/>
    </row>
    <row r="189" ht="15.75" customHeight="1" spans="2:11">
      <c r="B189" s="2">
        <f t="shared" si="6"/>
        <v>164</v>
      </c>
      <c r="C189" s="17">
        <v>49096</v>
      </c>
      <c r="D189" s="14">
        <f t="shared" si="7"/>
        <v>2914867.67998302</v>
      </c>
      <c r="E189" s="14">
        <f t="shared" si="0"/>
        <v>22499.6979033115</v>
      </c>
      <c r="F189" s="14">
        <f t="shared" si="1"/>
        <v>13359.8101999222</v>
      </c>
      <c r="G189" s="14">
        <f t="shared" si="2"/>
        <v>9139.88770338935</v>
      </c>
      <c r="H189" s="14">
        <f t="shared" si="3"/>
        <v>2905727.79227963</v>
      </c>
      <c r="I189" s="14">
        <f t="shared" si="4"/>
        <v>0</v>
      </c>
      <c r="J189" s="14">
        <f t="shared" si="5"/>
        <v>22499.6979033115</v>
      </c>
      <c r="K189" s="18"/>
    </row>
    <row r="190" ht="15.75" customHeight="1" spans="2:11">
      <c r="B190" s="2">
        <f t="shared" si="6"/>
        <v>165</v>
      </c>
      <c r="C190" s="17">
        <v>49126</v>
      </c>
      <c r="D190" s="14">
        <f t="shared" si="7"/>
        <v>2905727.79227963</v>
      </c>
      <c r="E190" s="14">
        <f t="shared" si="0"/>
        <v>22499.6979033115</v>
      </c>
      <c r="F190" s="14">
        <f t="shared" si="1"/>
        <v>13317.9190479483</v>
      </c>
      <c r="G190" s="14">
        <f t="shared" si="2"/>
        <v>9181.77885536322</v>
      </c>
      <c r="H190" s="14">
        <f t="shared" si="3"/>
        <v>2896546.01342427</v>
      </c>
      <c r="I190" s="14">
        <f t="shared" si="4"/>
        <v>0</v>
      </c>
      <c r="J190" s="14">
        <f t="shared" si="5"/>
        <v>22499.6979033115</v>
      </c>
      <c r="K190" s="18"/>
    </row>
    <row r="191" ht="15.75" customHeight="1" spans="2:11">
      <c r="B191" s="2">
        <f t="shared" si="6"/>
        <v>166</v>
      </c>
      <c r="C191" s="17">
        <v>49157</v>
      </c>
      <c r="D191" s="14">
        <f t="shared" si="7"/>
        <v>2896546.01342427</v>
      </c>
      <c r="E191" s="14">
        <f t="shared" si="0"/>
        <v>22499.6979033115</v>
      </c>
      <c r="F191" s="14">
        <f t="shared" si="1"/>
        <v>13275.8358948612</v>
      </c>
      <c r="G191" s="14">
        <f t="shared" si="2"/>
        <v>9223.8620084503</v>
      </c>
      <c r="H191" s="14">
        <f t="shared" si="3"/>
        <v>2887322.15141582</v>
      </c>
      <c r="I191" s="14">
        <f t="shared" si="4"/>
        <v>0</v>
      </c>
      <c r="J191" s="14">
        <f t="shared" si="5"/>
        <v>22499.6979033115</v>
      </c>
      <c r="K191" s="18"/>
    </row>
    <row r="192" ht="15.75" customHeight="1" spans="2:11">
      <c r="B192" s="2">
        <f t="shared" si="6"/>
        <v>167</v>
      </c>
      <c r="C192" s="17">
        <v>49188</v>
      </c>
      <c r="D192" s="14">
        <f t="shared" si="7"/>
        <v>2887322.15141582</v>
      </c>
      <c r="E192" s="14">
        <f t="shared" si="0"/>
        <v>22499.6979033115</v>
      </c>
      <c r="F192" s="14">
        <f t="shared" si="1"/>
        <v>13233.5598606558</v>
      </c>
      <c r="G192" s="14">
        <f t="shared" si="2"/>
        <v>9266.1380426557</v>
      </c>
      <c r="H192" s="14">
        <f t="shared" si="3"/>
        <v>2878056.01337316</v>
      </c>
      <c r="I192" s="14">
        <f t="shared" si="4"/>
        <v>0</v>
      </c>
      <c r="J192" s="14">
        <f t="shared" si="5"/>
        <v>22499.6979033115</v>
      </c>
      <c r="K192" s="18"/>
    </row>
    <row r="193" ht="15.75" customHeight="1" spans="2:11">
      <c r="B193" s="2">
        <f t="shared" si="6"/>
        <v>168</v>
      </c>
      <c r="C193" s="17">
        <v>49218</v>
      </c>
      <c r="D193" s="14">
        <f t="shared" si="7"/>
        <v>2878056.01337316</v>
      </c>
      <c r="E193" s="14">
        <f t="shared" si="0"/>
        <v>22499.6979033115</v>
      </c>
      <c r="F193" s="14">
        <f t="shared" si="1"/>
        <v>13191.0900612936</v>
      </c>
      <c r="G193" s="14">
        <f t="shared" si="2"/>
        <v>9308.60784201787</v>
      </c>
      <c r="H193" s="14">
        <f t="shared" si="3"/>
        <v>2868747.40553114</v>
      </c>
      <c r="I193" s="14">
        <f t="shared" si="4"/>
        <v>0</v>
      </c>
      <c r="J193" s="14">
        <f t="shared" si="5"/>
        <v>22499.6979033115</v>
      </c>
      <c r="K193" s="18"/>
    </row>
    <row r="194" ht="15.75" customHeight="1" spans="2:11">
      <c r="B194" s="2">
        <f t="shared" si="6"/>
        <v>169</v>
      </c>
      <c r="C194" s="17">
        <v>49249</v>
      </c>
      <c r="D194" s="14">
        <f t="shared" si="7"/>
        <v>2868747.40553114</v>
      </c>
      <c r="E194" s="14">
        <f t="shared" si="0"/>
        <v>22499.6979033115</v>
      </c>
      <c r="F194" s="14">
        <f t="shared" si="1"/>
        <v>13148.4256086844</v>
      </c>
      <c r="G194" s="14">
        <f t="shared" si="2"/>
        <v>9351.27229462712</v>
      </c>
      <c r="H194" s="14">
        <f t="shared" si="3"/>
        <v>2859396.13323652</v>
      </c>
      <c r="I194" s="14">
        <f t="shared" si="4"/>
        <v>0</v>
      </c>
      <c r="J194" s="14">
        <f t="shared" si="5"/>
        <v>22499.6979033115</v>
      </c>
      <c r="K194" s="14">
        <f>SUM(I194:I205)</f>
        <v>0</v>
      </c>
    </row>
    <row r="195" ht="15.75" customHeight="1" spans="2:11">
      <c r="B195" s="2">
        <f t="shared" si="6"/>
        <v>170</v>
      </c>
      <c r="C195" s="17">
        <v>49279</v>
      </c>
      <c r="D195" s="14">
        <f t="shared" si="7"/>
        <v>2859396.13323652</v>
      </c>
      <c r="E195" s="14">
        <f t="shared" si="0"/>
        <v>22499.6979033115</v>
      </c>
      <c r="F195" s="14">
        <f t="shared" si="1"/>
        <v>13105.5656106674</v>
      </c>
      <c r="G195" s="14">
        <f t="shared" si="2"/>
        <v>9394.13229264416</v>
      </c>
      <c r="H195" s="14">
        <f t="shared" si="3"/>
        <v>2850002.00094387</v>
      </c>
      <c r="I195" s="14">
        <f t="shared" si="4"/>
        <v>0</v>
      </c>
      <c r="J195" s="14">
        <f t="shared" si="5"/>
        <v>22499.6979033115</v>
      </c>
      <c r="K195" s="18"/>
    </row>
    <row r="196" ht="15.75" customHeight="1" spans="2:11">
      <c r="B196" s="2">
        <f t="shared" si="6"/>
        <v>171</v>
      </c>
      <c r="C196" s="17">
        <v>49310</v>
      </c>
      <c r="D196" s="14">
        <f t="shared" si="7"/>
        <v>2850002.00094387</v>
      </c>
      <c r="E196" s="14">
        <f t="shared" si="0"/>
        <v>22499.6979033115</v>
      </c>
      <c r="F196" s="14">
        <f t="shared" si="1"/>
        <v>13062.5091709927</v>
      </c>
      <c r="G196" s="14">
        <f t="shared" si="2"/>
        <v>9437.18873231878</v>
      </c>
      <c r="H196" s="14">
        <f t="shared" si="3"/>
        <v>2840564.81221155</v>
      </c>
      <c r="I196" s="14">
        <f t="shared" si="4"/>
        <v>0</v>
      </c>
      <c r="J196" s="14">
        <f t="shared" si="5"/>
        <v>22499.6979033115</v>
      </c>
      <c r="K196" s="18"/>
    </row>
    <row r="197" ht="15.75" customHeight="1" spans="2:11">
      <c r="B197" s="2">
        <f t="shared" si="6"/>
        <v>172</v>
      </c>
      <c r="C197" s="17">
        <v>49341</v>
      </c>
      <c r="D197" s="14">
        <f t="shared" si="7"/>
        <v>2840564.81221155</v>
      </c>
      <c r="E197" s="14">
        <f t="shared" si="0"/>
        <v>22499.6979033115</v>
      </c>
      <c r="F197" s="14">
        <f t="shared" si="1"/>
        <v>13019.2553893029</v>
      </c>
      <c r="G197" s="14">
        <f t="shared" si="2"/>
        <v>9480.44251400857</v>
      </c>
      <c r="H197" s="14">
        <f t="shared" si="3"/>
        <v>2831084.36969755</v>
      </c>
      <c r="I197" s="14">
        <f t="shared" si="4"/>
        <v>0</v>
      </c>
      <c r="J197" s="14">
        <f t="shared" si="5"/>
        <v>22499.6979033115</v>
      </c>
      <c r="K197" s="18"/>
    </row>
    <row r="198" ht="15.75" customHeight="1" spans="2:11">
      <c r="B198" s="2">
        <f t="shared" si="6"/>
        <v>173</v>
      </c>
      <c r="C198" s="17">
        <v>49369</v>
      </c>
      <c r="D198" s="14">
        <f t="shared" si="7"/>
        <v>2831084.36969755</v>
      </c>
      <c r="E198" s="14">
        <f t="shared" si="0"/>
        <v>22499.6979033115</v>
      </c>
      <c r="F198" s="14">
        <f t="shared" si="1"/>
        <v>12975.8033611137</v>
      </c>
      <c r="G198" s="14">
        <f t="shared" si="2"/>
        <v>9523.89454219778</v>
      </c>
      <c r="H198" s="14">
        <f t="shared" si="3"/>
        <v>2821560.47515535</v>
      </c>
      <c r="I198" s="14">
        <f t="shared" si="4"/>
        <v>0</v>
      </c>
      <c r="J198" s="14">
        <f t="shared" si="5"/>
        <v>22499.6979033115</v>
      </c>
      <c r="K198" s="18"/>
    </row>
    <row r="199" ht="15.75" customHeight="1" spans="2:11">
      <c r="B199" s="2">
        <f t="shared" si="6"/>
        <v>174</v>
      </c>
      <c r="C199" s="17">
        <v>49400</v>
      </c>
      <c r="D199" s="14">
        <f t="shared" si="7"/>
        <v>2821560.47515535</v>
      </c>
      <c r="E199" s="14">
        <f t="shared" si="0"/>
        <v>22499.6979033115</v>
      </c>
      <c r="F199" s="14">
        <f t="shared" si="1"/>
        <v>12932.1521777953</v>
      </c>
      <c r="G199" s="14">
        <f t="shared" si="2"/>
        <v>9567.54572551618</v>
      </c>
      <c r="H199" s="14">
        <f t="shared" si="3"/>
        <v>2811992.92942983</v>
      </c>
      <c r="I199" s="14">
        <f t="shared" si="4"/>
        <v>0</v>
      </c>
      <c r="J199" s="14">
        <f t="shared" si="5"/>
        <v>22499.6979033115</v>
      </c>
      <c r="K199" s="18"/>
    </row>
    <row r="200" ht="15.75" customHeight="1" spans="2:11">
      <c r="B200" s="2">
        <f t="shared" si="6"/>
        <v>175</v>
      </c>
      <c r="C200" s="17">
        <v>49430</v>
      </c>
      <c r="D200" s="14">
        <f t="shared" si="7"/>
        <v>2811992.92942983</v>
      </c>
      <c r="E200" s="14">
        <f t="shared" si="0"/>
        <v>22499.6979033115</v>
      </c>
      <c r="F200" s="14">
        <f t="shared" si="1"/>
        <v>12888.3009265534</v>
      </c>
      <c r="G200" s="14">
        <f t="shared" si="2"/>
        <v>9611.39697675813</v>
      </c>
      <c r="H200" s="14">
        <f t="shared" si="3"/>
        <v>2802381.53245307</v>
      </c>
      <c r="I200" s="14">
        <f t="shared" si="4"/>
        <v>0</v>
      </c>
      <c r="J200" s="14">
        <f t="shared" si="5"/>
        <v>22499.6979033115</v>
      </c>
      <c r="K200" s="18"/>
    </row>
    <row r="201" ht="15.75" customHeight="1" spans="2:11">
      <c r="B201" s="2">
        <f t="shared" si="6"/>
        <v>176</v>
      </c>
      <c r="C201" s="17">
        <v>49461</v>
      </c>
      <c r="D201" s="14">
        <f t="shared" si="7"/>
        <v>2802381.53245307</v>
      </c>
      <c r="E201" s="14">
        <f t="shared" si="0"/>
        <v>22499.6979033115</v>
      </c>
      <c r="F201" s="14">
        <f t="shared" si="1"/>
        <v>12844.2486904099</v>
      </c>
      <c r="G201" s="14">
        <f t="shared" si="2"/>
        <v>9655.44921290161</v>
      </c>
      <c r="H201" s="14">
        <f t="shared" si="3"/>
        <v>2792726.08324017</v>
      </c>
      <c r="I201" s="14">
        <f t="shared" si="4"/>
        <v>0</v>
      </c>
      <c r="J201" s="14">
        <f t="shared" si="5"/>
        <v>22499.6979033115</v>
      </c>
      <c r="K201" s="18"/>
    </row>
    <row r="202" ht="15.75" customHeight="1" spans="2:11">
      <c r="B202" s="2">
        <f t="shared" si="6"/>
        <v>177</v>
      </c>
      <c r="C202" s="17">
        <v>49491</v>
      </c>
      <c r="D202" s="14">
        <f t="shared" si="7"/>
        <v>2792726.08324017</v>
      </c>
      <c r="E202" s="14">
        <f t="shared" si="0"/>
        <v>22499.6979033115</v>
      </c>
      <c r="F202" s="14">
        <f t="shared" si="1"/>
        <v>12799.9945481841</v>
      </c>
      <c r="G202" s="14">
        <f t="shared" si="2"/>
        <v>9699.70335512741</v>
      </c>
      <c r="H202" s="14">
        <f t="shared" si="3"/>
        <v>2783026.37988504</v>
      </c>
      <c r="I202" s="14">
        <f t="shared" si="4"/>
        <v>0</v>
      </c>
      <c r="J202" s="14">
        <f t="shared" si="5"/>
        <v>22499.6979033115</v>
      </c>
      <c r="K202" s="18"/>
    </row>
    <row r="203" ht="15.75" customHeight="1" spans="2:11">
      <c r="B203" s="2">
        <f t="shared" si="6"/>
        <v>178</v>
      </c>
      <c r="C203" s="17">
        <v>49522</v>
      </c>
      <c r="D203" s="14">
        <f t="shared" si="7"/>
        <v>2783026.37988504</v>
      </c>
      <c r="E203" s="14">
        <f t="shared" si="0"/>
        <v>22499.6979033115</v>
      </c>
      <c r="F203" s="14">
        <f t="shared" si="1"/>
        <v>12755.5375744731</v>
      </c>
      <c r="G203" s="14">
        <f t="shared" si="2"/>
        <v>9744.16032883841</v>
      </c>
      <c r="H203" s="14">
        <f t="shared" si="3"/>
        <v>2773282.21955621</v>
      </c>
      <c r="I203" s="14">
        <f t="shared" si="4"/>
        <v>0</v>
      </c>
      <c r="J203" s="14">
        <f t="shared" si="5"/>
        <v>22499.6979033115</v>
      </c>
      <c r="K203" s="18"/>
    </row>
    <row r="204" ht="15.75" customHeight="1" spans="2:11">
      <c r="B204" s="2">
        <f t="shared" si="6"/>
        <v>179</v>
      </c>
      <c r="C204" s="17">
        <v>49553</v>
      </c>
      <c r="D204" s="14">
        <f t="shared" si="7"/>
        <v>2773282.21955621</v>
      </c>
      <c r="E204" s="14">
        <f t="shared" si="0"/>
        <v>22499.6979033115</v>
      </c>
      <c r="F204" s="14">
        <f t="shared" si="1"/>
        <v>12710.8768396326</v>
      </c>
      <c r="G204" s="14">
        <f t="shared" si="2"/>
        <v>9788.82106367892</v>
      </c>
      <c r="H204" s="14">
        <f t="shared" si="3"/>
        <v>2763493.39849253</v>
      </c>
      <c r="I204" s="14">
        <f t="shared" si="4"/>
        <v>0</v>
      </c>
      <c r="J204" s="14">
        <f t="shared" si="5"/>
        <v>22499.6979033115</v>
      </c>
      <c r="K204" s="18"/>
    </row>
    <row r="205" ht="15.75" customHeight="1" spans="2:11">
      <c r="B205" s="2">
        <f t="shared" si="6"/>
        <v>180</v>
      </c>
      <c r="C205" s="17">
        <v>49583</v>
      </c>
      <c r="D205" s="14">
        <f t="shared" si="7"/>
        <v>2763493.39849253</v>
      </c>
      <c r="E205" s="14">
        <f t="shared" si="0"/>
        <v>22499.6979033115</v>
      </c>
      <c r="F205" s="14">
        <f t="shared" si="1"/>
        <v>12666.0114097574</v>
      </c>
      <c r="G205" s="14">
        <f t="shared" si="2"/>
        <v>9833.68649355411</v>
      </c>
      <c r="H205" s="14">
        <f t="shared" si="3"/>
        <v>2753659.71199897</v>
      </c>
      <c r="I205" s="14">
        <f t="shared" si="4"/>
        <v>0</v>
      </c>
      <c r="J205" s="14">
        <f t="shared" si="5"/>
        <v>22499.6979033115</v>
      </c>
      <c r="K205" s="18"/>
    </row>
    <row r="206" ht="15.75" customHeight="1" spans="2:11">
      <c r="B206" s="2">
        <f t="shared" si="6"/>
        <v>181</v>
      </c>
      <c r="C206" s="17">
        <v>49614</v>
      </c>
      <c r="D206" s="14">
        <f t="shared" si="7"/>
        <v>2753659.71199897</v>
      </c>
      <c r="E206" s="14">
        <f t="shared" si="0"/>
        <v>22499.6979033115</v>
      </c>
      <c r="F206" s="14">
        <f t="shared" si="1"/>
        <v>12620.9403466619</v>
      </c>
      <c r="G206" s="14">
        <f t="shared" si="2"/>
        <v>9878.75755664957</v>
      </c>
      <c r="H206" s="14">
        <f t="shared" si="3"/>
        <v>2743780.95444232</v>
      </c>
      <c r="I206" s="14">
        <f t="shared" si="4"/>
        <v>0</v>
      </c>
      <c r="J206" s="14">
        <f t="shared" si="5"/>
        <v>22499.6979033115</v>
      </c>
      <c r="K206" s="14">
        <f>SUM(I206:I217)</f>
        <v>0</v>
      </c>
    </row>
    <row r="207" ht="15.75" customHeight="1" spans="2:11">
      <c r="B207" s="2">
        <f t="shared" si="6"/>
        <v>182</v>
      </c>
      <c r="C207" s="17">
        <v>49644</v>
      </c>
      <c r="D207" s="14">
        <f t="shared" si="7"/>
        <v>2743780.95444232</v>
      </c>
      <c r="E207" s="14">
        <f t="shared" si="0"/>
        <v>22499.6979033115</v>
      </c>
      <c r="F207" s="14">
        <f t="shared" si="1"/>
        <v>12575.6627078606</v>
      </c>
      <c r="G207" s="14">
        <f t="shared" si="2"/>
        <v>9924.03519545088</v>
      </c>
      <c r="H207" s="14">
        <f t="shared" si="3"/>
        <v>2733856.91924687</v>
      </c>
      <c r="I207" s="14">
        <f t="shared" si="4"/>
        <v>0</v>
      </c>
      <c r="J207" s="14">
        <f t="shared" si="5"/>
        <v>22499.6979033115</v>
      </c>
      <c r="K207" s="18"/>
    </row>
    <row r="208" ht="15.75" customHeight="1" spans="2:11">
      <c r="B208" s="2">
        <f t="shared" si="6"/>
        <v>183</v>
      </c>
      <c r="C208" s="17">
        <v>49675</v>
      </c>
      <c r="D208" s="14">
        <f t="shared" si="7"/>
        <v>2733856.91924687</v>
      </c>
      <c r="E208" s="14">
        <f t="shared" si="0"/>
        <v>22499.6979033115</v>
      </c>
      <c r="F208" s="14">
        <f t="shared" si="1"/>
        <v>12530.1775465482</v>
      </c>
      <c r="G208" s="14">
        <f t="shared" si="2"/>
        <v>9969.52035676336</v>
      </c>
      <c r="H208" s="14">
        <f t="shared" si="3"/>
        <v>2723887.39889011</v>
      </c>
      <c r="I208" s="14">
        <f t="shared" si="4"/>
        <v>0</v>
      </c>
      <c r="J208" s="14">
        <f t="shared" si="5"/>
        <v>22499.6979033115</v>
      </c>
      <c r="K208" s="18"/>
    </row>
    <row r="209" ht="15.75" customHeight="1" spans="2:11">
      <c r="B209" s="2">
        <f t="shared" si="6"/>
        <v>184</v>
      </c>
      <c r="C209" s="17">
        <v>49706</v>
      </c>
      <c r="D209" s="14">
        <f t="shared" si="7"/>
        <v>2723887.39889011</v>
      </c>
      <c r="E209" s="14">
        <f t="shared" si="0"/>
        <v>22499.6979033115</v>
      </c>
      <c r="F209" s="14">
        <f t="shared" si="1"/>
        <v>12484.4839115797</v>
      </c>
      <c r="G209" s="14">
        <f t="shared" si="2"/>
        <v>10015.2139917319</v>
      </c>
      <c r="H209" s="14">
        <f t="shared" si="3"/>
        <v>2713872.18489838</v>
      </c>
      <c r="I209" s="14">
        <f t="shared" si="4"/>
        <v>0</v>
      </c>
      <c r="J209" s="14">
        <f t="shared" si="5"/>
        <v>22499.6979033115</v>
      </c>
      <c r="K209" s="18"/>
    </row>
    <row r="210" ht="15.75" customHeight="1" spans="2:11">
      <c r="B210" s="2">
        <f t="shared" si="6"/>
        <v>185</v>
      </c>
      <c r="C210" s="17">
        <v>49735</v>
      </c>
      <c r="D210" s="14">
        <f t="shared" si="7"/>
        <v>2713872.18489838</v>
      </c>
      <c r="E210" s="14">
        <f t="shared" si="0"/>
        <v>22499.6979033115</v>
      </c>
      <c r="F210" s="14">
        <f t="shared" si="1"/>
        <v>12438.5808474509</v>
      </c>
      <c r="G210" s="14">
        <f t="shared" si="2"/>
        <v>10061.1170558606</v>
      </c>
      <c r="H210" s="14">
        <f t="shared" si="3"/>
        <v>2703811.06784252</v>
      </c>
      <c r="I210" s="14">
        <f t="shared" si="4"/>
        <v>0</v>
      </c>
      <c r="J210" s="14">
        <f t="shared" si="5"/>
        <v>22499.6979033115</v>
      </c>
      <c r="K210" s="18"/>
    </row>
    <row r="211" ht="15.75" customHeight="1" spans="2:11">
      <c r="B211" s="2">
        <f t="shared" si="6"/>
        <v>186</v>
      </c>
      <c r="C211" s="17">
        <v>49766</v>
      </c>
      <c r="D211" s="14">
        <f t="shared" si="7"/>
        <v>2703811.06784252</v>
      </c>
      <c r="E211" s="14">
        <f t="shared" si="0"/>
        <v>22499.6979033115</v>
      </c>
      <c r="F211" s="14">
        <f t="shared" si="1"/>
        <v>12392.4673942782</v>
      </c>
      <c r="G211" s="14">
        <f t="shared" si="2"/>
        <v>10107.2305090333</v>
      </c>
      <c r="H211" s="14">
        <f t="shared" si="3"/>
        <v>2693703.83733348</v>
      </c>
      <c r="I211" s="14">
        <f t="shared" si="4"/>
        <v>0</v>
      </c>
      <c r="J211" s="14">
        <f t="shared" si="5"/>
        <v>22499.6979033115</v>
      </c>
      <c r="K211" s="18"/>
    </row>
    <row r="212" ht="15.75" customHeight="1" spans="2:11">
      <c r="B212" s="2">
        <f t="shared" si="6"/>
        <v>187</v>
      </c>
      <c r="C212" s="17">
        <v>49796</v>
      </c>
      <c r="D212" s="14">
        <f t="shared" si="7"/>
        <v>2693703.83733348</v>
      </c>
      <c r="E212" s="14">
        <f t="shared" si="0"/>
        <v>22499.6979033115</v>
      </c>
      <c r="F212" s="14">
        <f t="shared" si="1"/>
        <v>12346.1425877785</v>
      </c>
      <c r="G212" s="14">
        <f t="shared" si="2"/>
        <v>10153.5553155331</v>
      </c>
      <c r="H212" s="14">
        <f t="shared" si="3"/>
        <v>2683550.28201795</v>
      </c>
      <c r="I212" s="14">
        <f t="shared" si="4"/>
        <v>0</v>
      </c>
      <c r="J212" s="14">
        <f t="shared" si="5"/>
        <v>22499.6979033115</v>
      </c>
      <c r="K212" s="18"/>
    </row>
    <row r="213" ht="15.75" customHeight="1" spans="2:11">
      <c r="B213" s="2">
        <f t="shared" si="6"/>
        <v>188</v>
      </c>
      <c r="C213" s="17">
        <v>49827</v>
      </c>
      <c r="D213" s="14">
        <f t="shared" si="7"/>
        <v>2683550.28201795</v>
      </c>
      <c r="E213" s="14">
        <f t="shared" si="0"/>
        <v>22499.6979033115</v>
      </c>
      <c r="F213" s="14">
        <f t="shared" si="1"/>
        <v>12299.6054592489</v>
      </c>
      <c r="G213" s="14">
        <f t="shared" si="2"/>
        <v>10200.0924440626</v>
      </c>
      <c r="H213" s="14">
        <f t="shared" si="3"/>
        <v>2673350.18957389</v>
      </c>
      <c r="I213" s="14">
        <f t="shared" si="4"/>
        <v>0</v>
      </c>
      <c r="J213" s="14">
        <f t="shared" si="5"/>
        <v>22499.6979033115</v>
      </c>
      <c r="K213" s="18"/>
    </row>
    <row r="214" ht="15.75" customHeight="1" spans="2:11">
      <c r="B214" s="2">
        <f t="shared" si="6"/>
        <v>189</v>
      </c>
      <c r="C214" s="17">
        <v>49857</v>
      </c>
      <c r="D214" s="14">
        <f t="shared" si="7"/>
        <v>2673350.18957389</v>
      </c>
      <c r="E214" s="14">
        <f t="shared" si="0"/>
        <v>22499.6979033115</v>
      </c>
      <c r="F214" s="14">
        <f t="shared" si="1"/>
        <v>12252.855035547</v>
      </c>
      <c r="G214" s="14">
        <f t="shared" si="2"/>
        <v>10246.8428677645</v>
      </c>
      <c r="H214" s="14">
        <f t="shared" si="3"/>
        <v>2663103.34670612</v>
      </c>
      <c r="I214" s="14">
        <f t="shared" si="4"/>
        <v>0</v>
      </c>
      <c r="J214" s="14">
        <f t="shared" si="5"/>
        <v>22499.6979033115</v>
      </c>
      <c r="K214" s="18"/>
    </row>
    <row r="215" ht="15.75" customHeight="1" spans="2:11">
      <c r="B215" s="2">
        <f t="shared" si="6"/>
        <v>190</v>
      </c>
      <c r="C215" s="17">
        <v>49888</v>
      </c>
      <c r="D215" s="14">
        <f t="shared" si="7"/>
        <v>2663103.34670612</v>
      </c>
      <c r="E215" s="14">
        <f t="shared" si="0"/>
        <v>22499.6979033115</v>
      </c>
      <c r="F215" s="14">
        <f t="shared" si="1"/>
        <v>12205.8903390697</v>
      </c>
      <c r="G215" s="14">
        <f t="shared" si="2"/>
        <v>10293.8075642418</v>
      </c>
      <c r="H215" s="14">
        <f t="shared" si="3"/>
        <v>2652809.53914188</v>
      </c>
      <c r="I215" s="14">
        <f t="shared" si="4"/>
        <v>0</v>
      </c>
      <c r="J215" s="14">
        <f t="shared" si="5"/>
        <v>22499.6979033115</v>
      </c>
      <c r="K215" s="18"/>
    </row>
    <row r="216" ht="15.75" customHeight="1" spans="2:11">
      <c r="B216" s="2">
        <f t="shared" si="6"/>
        <v>191</v>
      </c>
      <c r="C216" s="17">
        <v>49919</v>
      </c>
      <c r="D216" s="14">
        <f t="shared" si="7"/>
        <v>2652809.53914188</v>
      </c>
      <c r="E216" s="14">
        <f t="shared" si="0"/>
        <v>22499.6979033115</v>
      </c>
      <c r="F216" s="14">
        <f t="shared" si="1"/>
        <v>12158.7103877336</v>
      </c>
      <c r="G216" s="14">
        <f t="shared" si="2"/>
        <v>10340.9875155779</v>
      </c>
      <c r="H216" s="14">
        <f t="shared" si="3"/>
        <v>2642468.5516263</v>
      </c>
      <c r="I216" s="14">
        <f t="shared" si="4"/>
        <v>0</v>
      </c>
      <c r="J216" s="14">
        <f t="shared" si="5"/>
        <v>22499.6979033115</v>
      </c>
      <c r="K216" s="18"/>
    </row>
    <row r="217" ht="15.75" customHeight="1" spans="2:11">
      <c r="B217" s="2">
        <f t="shared" si="6"/>
        <v>192</v>
      </c>
      <c r="C217" s="17">
        <v>49949</v>
      </c>
      <c r="D217" s="14">
        <f t="shared" si="7"/>
        <v>2642468.5516263</v>
      </c>
      <c r="E217" s="14">
        <f t="shared" si="0"/>
        <v>22499.6979033115</v>
      </c>
      <c r="F217" s="14">
        <f t="shared" si="1"/>
        <v>12111.3141949539</v>
      </c>
      <c r="G217" s="14">
        <f t="shared" si="2"/>
        <v>10388.3837083576</v>
      </c>
      <c r="H217" s="14">
        <f t="shared" si="3"/>
        <v>2632080.16791795</v>
      </c>
      <c r="I217" s="14">
        <f t="shared" si="4"/>
        <v>0</v>
      </c>
      <c r="J217" s="14">
        <f t="shared" si="5"/>
        <v>22499.6979033115</v>
      </c>
      <c r="K217" s="18"/>
    </row>
    <row r="218" ht="15.75" customHeight="1" spans="2:11">
      <c r="B218" s="2">
        <f t="shared" si="6"/>
        <v>193</v>
      </c>
      <c r="C218" s="17">
        <v>49980</v>
      </c>
      <c r="D218" s="14">
        <f t="shared" si="7"/>
        <v>2632080.16791795</v>
      </c>
      <c r="E218" s="14">
        <f t="shared" si="0"/>
        <v>22499.6979033115</v>
      </c>
      <c r="F218" s="14">
        <f t="shared" si="1"/>
        <v>12063.7007696239</v>
      </c>
      <c r="G218" s="14">
        <f t="shared" si="2"/>
        <v>10435.9971336876</v>
      </c>
      <c r="H218" s="14">
        <f t="shared" si="3"/>
        <v>2621644.17078426</v>
      </c>
      <c r="I218" s="14">
        <f t="shared" si="4"/>
        <v>0</v>
      </c>
      <c r="J218" s="14">
        <f t="shared" si="5"/>
        <v>22499.6979033115</v>
      </c>
      <c r="K218" s="14">
        <f>SUM(I218:I229)</f>
        <v>0</v>
      </c>
    </row>
    <row r="219" ht="15.75" customHeight="1" spans="2:11">
      <c r="B219" s="2">
        <f t="shared" si="6"/>
        <v>194</v>
      </c>
      <c r="C219" s="17">
        <v>50010</v>
      </c>
      <c r="D219" s="14">
        <f t="shared" si="7"/>
        <v>2621644.17078426</v>
      </c>
      <c r="E219" s="14">
        <f t="shared" si="0"/>
        <v>22499.6979033115</v>
      </c>
      <c r="F219" s="14">
        <f t="shared" si="1"/>
        <v>12015.8691160945</v>
      </c>
      <c r="G219" s="14">
        <f t="shared" si="2"/>
        <v>10483.828787217</v>
      </c>
      <c r="H219" s="14">
        <f t="shared" si="3"/>
        <v>2611160.34199704</v>
      </c>
      <c r="I219" s="14">
        <f t="shared" si="4"/>
        <v>0</v>
      </c>
      <c r="J219" s="14">
        <f t="shared" si="5"/>
        <v>22499.6979033115</v>
      </c>
      <c r="K219" s="18"/>
    </row>
    <row r="220" ht="15.75" customHeight="1" spans="2:11">
      <c r="B220" s="2">
        <f t="shared" si="6"/>
        <v>195</v>
      </c>
      <c r="C220" s="17">
        <v>50041</v>
      </c>
      <c r="D220" s="14">
        <f t="shared" si="7"/>
        <v>2611160.34199704</v>
      </c>
      <c r="E220" s="14">
        <f t="shared" si="0"/>
        <v>22499.6979033115</v>
      </c>
      <c r="F220" s="14">
        <f t="shared" si="1"/>
        <v>11967.8182341531</v>
      </c>
      <c r="G220" s="14">
        <f t="shared" si="2"/>
        <v>10531.8796691584</v>
      </c>
      <c r="H220" s="14">
        <f t="shared" si="3"/>
        <v>2600628.46232788</v>
      </c>
      <c r="I220" s="14">
        <f t="shared" si="4"/>
        <v>0</v>
      </c>
      <c r="J220" s="14">
        <f t="shared" si="5"/>
        <v>22499.6979033115</v>
      </c>
      <c r="K220" s="18"/>
    </row>
    <row r="221" ht="15.75" customHeight="1" spans="2:11">
      <c r="B221" s="2">
        <f t="shared" si="6"/>
        <v>196</v>
      </c>
      <c r="C221" s="17">
        <v>50072</v>
      </c>
      <c r="D221" s="14">
        <f t="shared" si="7"/>
        <v>2600628.46232788</v>
      </c>
      <c r="E221" s="14">
        <f t="shared" si="0"/>
        <v>22499.6979033115</v>
      </c>
      <c r="F221" s="14">
        <f t="shared" si="1"/>
        <v>11919.5471190028</v>
      </c>
      <c r="G221" s="14">
        <f t="shared" si="2"/>
        <v>10580.1507843087</v>
      </c>
      <c r="H221" s="14">
        <f t="shared" si="3"/>
        <v>2590048.31154357</v>
      </c>
      <c r="I221" s="14">
        <f t="shared" si="4"/>
        <v>0</v>
      </c>
      <c r="J221" s="14">
        <f t="shared" si="5"/>
        <v>22499.6979033115</v>
      </c>
      <c r="K221" s="18"/>
    </row>
    <row r="222" ht="15.75" customHeight="1" spans="2:11">
      <c r="B222" s="2">
        <f t="shared" si="6"/>
        <v>197</v>
      </c>
      <c r="C222" s="17">
        <v>50100</v>
      </c>
      <c r="D222" s="14">
        <f t="shared" si="7"/>
        <v>2590048.31154357</v>
      </c>
      <c r="E222" s="14">
        <f t="shared" si="0"/>
        <v>22499.6979033115</v>
      </c>
      <c r="F222" s="14">
        <f t="shared" si="1"/>
        <v>11871.0547612414</v>
      </c>
      <c r="G222" s="14">
        <f t="shared" si="2"/>
        <v>10628.6431420701</v>
      </c>
      <c r="H222" s="14">
        <f t="shared" si="3"/>
        <v>2579419.6684015</v>
      </c>
      <c r="I222" s="14">
        <f t="shared" si="4"/>
        <v>0</v>
      </c>
      <c r="J222" s="14">
        <f t="shared" si="5"/>
        <v>22499.6979033115</v>
      </c>
      <c r="K222" s="18"/>
    </row>
    <row r="223" ht="15.75" customHeight="1" spans="2:11">
      <c r="B223" s="2">
        <f t="shared" si="6"/>
        <v>198</v>
      </c>
      <c r="C223" s="17">
        <v>50131</v>
      </c>
      <c r="D223" s="14">
        <f t="shared" si="7"/>
        <v>2579419.6684015</v>
      </c>
      <c r="E223" s="14">
        <f t="shared" si="0"/>
        <v>22499.6979033115</v>
      </c>
      <c r="F223" s="14">
        <f t="shared" si="1"/>
        <v>11822.3401468402</v>
      </c>
      <c r="G223" s="14">
        <f t="shared" si="2"/>
        <v>10677.3577564713</v>
      </c>
      <c r="H223" s="14">
        <f t="shared" si="3"/>
        <v>2568742.31064503</v>
      </c>
      <c r="I223" s="14">
        <f t="shared" si="4"/>
        <v>0</v>
      </c>
      <c r="J223" s="14">
        <f t="shared" si="5"/>
        <v>22499.6979033115</v>
      </c>
      <c r="K223" s="18"/>
    </row>
    <row r="224" ht="15.75" customHeight="1" spans="2:11">
      <c r="B224" s="2">
        <f t="shared" si="6"/>
        <v>199</v>
      </c>
      <c r="C224" s="17">
        <v>50161</v>
      </c>
      <c r="D224" s="14">
        <f t="shared" si="7"/>
        <v>2568742.31064503</v>
      </c>
      <c r="E224" s="14">
        <f t="shared" si="0"/>
        <v>22499.6979033115</v>
      </c>
      <c r="F224" s="14">
        <f t="shared" si="1"/>
        <v>11773.4022571231</v>
      </c>
      <c r="G224" s="14">
        <f t="shared" si="2"/>
        <v>10726.2956461885</v>
      </c>
      <c r="H224" s="14">
        <f t="shared" si="3"/>
        <v>2558016.01499884</v>
      </c>
      <c r="I224" s="14">
        <f t="shared" si="4"/>
        <v>0</v>
      </c>
      <c r="J224" s="14">
        <f t="shared" si="5"/>
        <v>22499.6979033115</v>
      </c>
      <c r="K224" s="18"/>
    </row>
    <row r="225" ht="15.75" customHeight="1" spans="2:11">
      <c r="B225" s="2">
        <f t="shared" si="6"/>
        <v>200</v>
      </c>
      <c r="C225" s="17">
        <v>50192</v>
      </c>
      <c r="D225" s="14">
        <f t="shared" si="7"/>
        <v>2558016.01499884</v>
      </c>
      <c r="E225" s="14">
        <f t="shared" si="0"/>
        <v>22499.6979033115</v>
      </c>
      <c r="F225" s="14">
        <f t="shared" si="1"/>
        <v>11724.2400687447</v>
      </c>
      <c r="G225" s="14">
        <f t="shared" si="2"/>
        <v>10775.4578345668</v>
      </c>
      <c r="H225" s="14">
        <f t="shared" si="3"/>
        <v>2547240.55716428</v>
      </c>
      <c r="I225" s="14">
        <f t="shared" si="4"/>
        <v>0</v>
      </c>
      <c r="J225" s="14">
        <f t="shared" si="5"/>
        <v>22499.6979033115</v>
      </c>
      <c r="K225" s="18"/>
    </row>
    <row r="226" ht="15.75" customHeight="1" spans="2:11">
      <c r="B226" s="2">
        <f t="shared" si="6"/>
        <v>201</v>
      </c>
      <c r="C226" s="17">
        <v>50222</v>
      </c>
      <c r="D226" s="14">
        <f t="shared" si="7"/>
        <v>2547240.55716428</v>
      </c>
      <c r="E226" s="14">
        <f t="shared" si="0"/>
        <v>22499.6979033115</v>
      </c>
      <c r="F226" s="14">
        <f t="shared" si="1"/>
        <v>11674.8525536696</v>
      </c>
      <c r="G226" s="14">
        <f t="shared" si="2"/>
        <v>10824.8453496419</v>
      </c>
      <c r="H226" s="14">
        <f t="shared" si="3"/>
        <v>2536415.71181464</v>
      </c>
      <c r="I226" s="14">
        <f t="shared" si="4"/>
        <v>0</v>
      </c>
      <c r="J226" s="14">
        <f t="shared" si="5"/>
        <v>22499.6979033115</v>
      </c>
      <c r="K226" s="18"/>
    </row>
    <row r="227" ht="15.75" customHeight="1" spans="2:11">
      <c r="B227" s="2">
        <f t="shared" si="6"/>
        <v>202</v>
      </c>
      <c r="C227" s="17">
        <v>50253</v>
      </c>
      <c r="D227" s="14">
        <f t="shared" si="7"/>
        <v>2536415.71181464</v>
      </c>
      <c r="E227" s="14">
        <f t="shared" si="0"/>
        <v>22499.6979033115</v>
      </c>
      <c r="F227" s="14">
        <f t="shared" si="1"/>
        <v>11625.2386791504</v>
      </c>
      <c r="G227" s="14">
        <f t="shared" si="2"/>
        <v>10874.4592241611</v>
      </c>
      <c r="H227" s="14">
        <f t="shared" si="3"/>
        <v>2525541.25259047</v>
      </c>
      <c r="I227" s="14">
        <f t="shared" si="4"/>
        <v>0</v>
      </c>
      <c r="J227" s="14">
        <f t="shared" si="5"/>
        <v>22499.6979033115</v>
      </c>
      <c r="K227" s="18"/>
    </row>
    <row r="228" ht="15.75" customHeight="1" spans="2:11">
      <c r="B228" s="2">
        <f t="shared" si="6"/>
        <v>203</v>
      </c>
      <c r="C228" s="17">
        <v>50284</v>
      </c>
      <c r="D228" s="14">
        <f t="shared" si="7"/>
        <v>2525541.25259047</v>
      </c>
      <c r="E228" s="14">
        <f t="shared" si="0"/>
        <v>22499.6979033115</v>
      </c>
      <c r="F228" s="14">
        <f t="shared" si="1"/>
        <v>11575.3974077063</v>
      </c>
      <c r="G228" s="14">
        <f t="shared" si="2"/>
        <v>10924.3004956052</v>
      </c>
      <c r="H228" s="14">
        <f t="shared" si="3"/>
        <v>2514616.95209487</v>
      </c>
      <c r="I228" s="14">
        <f t="shared" si="4"/>
        <v>0</v>
      </c>
      <c r="J228" s="14">
        <f t="shared" si="5"/>
        <v>22499.6979033115</v>
      </c>
      <c r="K228" s="18"/>
    </row>
    <row r="229" ht="15.75" customHeight="1" spans="2:11">
      <c r="B229" s="2">
        <f t="shared" si="6"/>
        <v>204</v>
      </c>
      <c r="C229" s="17">
        <v>50314</v>
      </c>
      <c r="D229" s="14">
        <f t="shared" si="7"/>
        <v>2514616.95209487</v>
      </c>
      <c r="E229" s="14">
        <f t="shared" si="0"/>
        <v>22499.6979033115</v>
      </c>
      <c r="F229" s="14">
        <f t="shared" si="1"/>
        <v>11525.3276971015</v>
      </c>
      <c r="G229" s="14">
        <f t="shared" si="2"/>
        <v>10974.37020621</v>
      </c>
      <c r="H229" s="14">
        <f t="shared" si="3"/>
        <v>2503642.58188866</v>
      </c>
      <c r="I229" s="14">
        <f t="shared" si="4"/>
        <v>0</v>
      </c>
      <c r="J229" s="14">
        <f t="shared" si="5"/>
        <v>22499.6979033115</v>
      </c>
      <c r="K229" s="18"/>
    </row>
    <row r="230" ht="15.75" customHeight="1" spans="2:11">
      <c r="B230" s="2">
        <f t="shared" si="6"/>
        <v>205</v>
      </c>
      <c r="C230" s="17">
        <v>50345</v>
      </c>
      <c r="D230" s="14">
        <f t="shared" si="7"/>
        <v>2503642.58188866</v>
      </c>
      <c r="E230" s="14">
        <f t="shared" si="0"/>
        <v>22499.6979033115</v>
      </c>
      <c r="F230" s="14">
        <f t="shared" si="1"/>
        <v>11475.028500323</v>
      </c>
      <c r="G230" s="14">
        <f t="shared" si="2"/>
        <v>11024.6694029885</v>
      </c>
      <c r="H230" s="14">
        <f t="shared" si="3"/>
        <v>2492617.91248567</v>
      </c>
      <c r="I230" s="14">
        <f t="shared" si="4"/>
        <v>0</v>
      </c>
      <c r="J230" s="14">
        <f t="shared" si="5"/>
        <v>22499.6979033115</v>
      </c>
      <c r="K230" s="14">
        <f>SUM(I230:I241)</f>
        <v>0</v>
      </c>
    </row>
    <row r="231" ht="15.75" customHeight="1" spans="2:11">
      <c r="B231" s="2">
        <f t="shared" si="6"/>
        <v>206</v>
      </c>
      <c r="C231" s="17">
        <v>50375</v>
      </c>
      <c r="D231" s="14">
        <f t="shared" si="7"/>
        <v>2492617.91248567</v>
      </c>
      <c r="E231" s="14">
        <f t="shared" si="0"/>
        <v>22499.6979033115</v>
      </c>
      <c r="F231" s="14">
        <f t="shared" si="1"/>
        <v>11424.4987655593</v>
      </c>
      <c r="G231" s="14">
        <f t="shared" si="2"/>
        <v>11075.1991377522</v>
      </c>
      <c r="H231" s="14">
        <f t="shared" si="3"/>
        <v>2481542.71334792</v>
      </c>
      <c r="I231" s="14">
        <f t="shared" si="4"/>
        <v>0</v>
      </c>
      <c r="J231" s="14">
        <f t="shared" si="5"/>
        <v>22499.6979033115</v>
      </c>
      <c r="K231" s="18"/>
    </row>
    <row r="232" ht="15.75" customHeight="1" spans="2:11">
      <c r="B232" s="2">
        <f t="shared" si="6"/>
        <v>207</v>
      </c>
      <c r="C232" s="17">
        <v>50406</v>
      </c>
      <c r="D232" s="14">
        <f t="shared" si="7"/>
        <v>2481542.71334792</v>
      </c>
      <c r="E232" s="14">
        <f t="shared" si="0"/>
        <v>22499.6979033115</v>
      </c>
      <c r="F232" s="14">
        <f t="shared" si="1"/>
        <v>11373.737436178</v>
      </c>
      <c r="G232" s="14">
        <f t="shared" si="2"/>
        <v>11125.9604671336</v>
      </c>
      <c r="H232" s="14">
        <f t="shared" si="3"/>
        <v>2470416.75288078</v>
      </c>
      <c r="I232" s="14">
        <f t="shared" si="4"/>
        <v>0</v>
      </c>
      <c r="J232" s="14">
        <f t="shared" si="5"/>
        <v>22499.6979033115</v>
      </c>
      <c r="K232" s="18"/>
    </row>
    <row r="233" ht="15.75" customHeight="1" spans="2:11">
      <c r="B233" s="2">
        <f t="shared" si="6"/>
        <v>208</v>
      </c>
      <c r="C233" s="17">
        <v>50437</v>
      </c>
      <c r="D233" s="14">
        <f t="shared" si="7"/>
        <v>2470416.75288078</v>
      </c>
      <c r="E233" s="14">
        <f t="shared" si="0"/>
        <v>22499.6979033115</v>
      </c>
      <c r="F233" s="14">
        <f t="shared" si="1"/>
        <v>11322.7434507036</v>
      </c>
      <c r="G233" s="14">
        <f t="shared" si="2"/>
        <v>11176.9544526079</v>
      </c>
      <c r="H233" s="14">
        <f t="shared" si="3"/>
        <v>2459239.79842818</v>
      </c>
      <c r="I233" s="14">
        <f t="shared" si="4"/>
        <v>0</v>
      </c>
      <c r="J233" s="14">
        <f t="shared" si="5"/>
        <v>22499.6979033115</v>
      </c>
      <c r="K233" s="18"/>
    </row>
    <row r="234" ht="15.75" customHeight="1" spans="2:11">
      <c r="B234" s="2">
        <f t="shared" si="6"/>
        <v>209</v>
      </c>
      <c r="C234" s="17">
        <v>50465</v>
      </c>
      <c r="D234" s="14">
        <f t="shared" si="7"/>
        <v>2459239.79842818</v>
      </c>
      <c r="E234" s="14">
        <f t="shared" si="0"/>
        <v>22499.6979033115</v>
      </c>
      <c r="F234" s="14">
        <f t="shared" si="1"/>
        <v>11271.5157427958</v>
      </c>
      <c r="G234" s="14">
        <f t="shared" si="2"/>
        <v>11228.1821605157</v>
      </c>
      <c r="H234" s="14">
        <f t="shared" si="3"/>
        <v>2448011.61626766</v>
      </c>
      <c r="I234" s="14">
        <f t="shared" si="4"/>
        <v>0</v>
      </c>
      <c r="J234" s="14">
        <f t="shared" si="5"/>
        <v>22499.6979033115</v>
      </c>
      <c r="K234" s="18"/>
    </row>
    <row r="235" ht="15.75" customHeight="1" spans="2:11">
      <c r="B235" s="2">
        <f t="shared" si="6"/>
        <v>210</v>
      </c>
      <c r="C235" s="17">
        <v>50496</v>
      </c>
      <c r="D235" s="14">
        <f t="shared" si="7"/>
        <v>2448011.61626766</v>
      </c>
      <c r="E235" s="14">
        <f t="shared" si="0"/>
        <v>22499.6979033115</v>
      </c>
      <c r="F235" s="14">
        <f t="shared" si="1"/>
        <v>11220.0532412268</v>
      </c>
      <c r="G235" s="14">
        <f t="shared" si="2"/>
        <v>11279.6446620847</v>
      </c>
      <c r="H235" s="14">
        <f t="shared" si="3"/>
        <v>2436731.97160558</v>
      </c>
      <c r="I235" s="14">
        <f t="shared" si="4"/>
        <v>0</v>
      </c>
      <c r="J235" s="14">
        <f t="shared" si="5"/>
        <v>22499.6979033115</v>
      </c>
      <c r="K235" s="18"/>
    </row>
    <row r="236" ht="15.75" customHeight="1" spans="2:11">
      <c r="B236" s="2">
        <f t="shared" si="6"/>
        <v>211</v>
      </c>
      <c r="C236" s="17">
        <v>50526</v>
      </c>
      <c r="D236" s="14">
        <f t="shared" si="7"/>
        <v>2436731.97160558</v>
      </c>
      <c r="E236" s="14">
        <f t="shared" si="0"/>
        <v>22499.6979033115</v>
      </c>
      <c r="F236" s="14">
        <f t="shared" si="1"/>
        <v>11168.3548698589</v>
      </c>
      <c r="G236" s="14">
        <f t="shared" si="2"/>
        <v>11331.3430334526</v>
      </c>
      <c r="H236" s="14">
        <f t="shared" si="3"/>
        <v>2425400.62857212</v>
      </c>
      <c r="I236" s="14">
        <f t="shared" si="4"/>
        <v>0</v>
      </c>
      <c r="J236" s="14">
        <f t="shared" si="5"/>
        <v>22499.6979033115</v>
      </c>
      <c r="K236" s="18"/>
    </row>
    <row r="237" ht="15.75" customHeight="1" spans="2:11">
      <c r="B237" s="2">
        <f t="shared" si="6"/>
        <v>212</v>
      </c>
      <c r="C237" s="17">
        <v>50557</v>
      </c>
      <c r="D237" s="14">
        <f t="shared" si="7"/>
        <v>2425400.62857212</v>
      </c>
      <c r="E237" s="14">
        <f t="shared" si="0"/>
        <v>22499.6979033115</v>
      </c>
      <c r="F237" s="14">
        <f t="shared" si="1"/>
        <v>11116.4195476222</v>
      </c>
      <c r="G237" s="14">
        <f t="shared" si="2"/>
        <v>11383.2783556893</v>
      </c>
      <c r="H237" s="14">
        <f t="shared" si="3"/>
        <v>2414017.35021643</v>
      </c>
      <c r="I237" s="14">
        <f t="shared" si="4"/>
        <v>0</v>
      </c>
      <c r="J237" s="14">
        <f t="shared" si="5"/>
        <v>22499.6979033115</v>
      </c>
      <c r="K237" s="18"/>
    </row>
    <row r="238" ht="15.75" customHeight="1" spans="2:11">
      <c r="B238" s="2">
        <f t="shared" si="6"/>
        <v>213</v>
      </c>
      <c r="C238" s="17">
        <v>50587</v>
      </c>
      <c r="D238" s="14">
        <f t="shared" si="7"/>
        <v>2414017.35021643</v>
      </c>
      <c r="E238" s="14">
        <f t="shared" si="0"/>
        <v>22499.6979033115</v>
      </c>
      <c r="F238" s="14">
        <f t="shared" si="1"/>
        <v>11064.246188492</v>
      </c>
      <c r="G238" s="14">
        <f t="shared" si="2"/>
        <v>11435.4517148195</v>
      </c>
      <c r="H238" s="14">
        <f t="shared" si="3"/>
        <v>2402581.89850162</v>
      </c>
      <c r="I238" s="14">
        <f t="shared" si="4"/>
        <v>0</v>
      </c>
      <c r="J238" s="14">
        <f t="shared" si="5"/>
        <v>22499.6979033115</v>
      </c>
      <c r="K238" s="18"/>
    </row>
    <row r="239" ht="15.75" customHeight="1" spans="2:11">
      <c r="B239" s="2">
        <f t="shared" si="6"/>
        <v>214</v>
      </c>
      <c r="C239" s="17">
        <v>50618</v>
      </c>
      <c r="D239" s="14">
        <f t="shared" si="7"/>
        <v>2402581.89850162</v>
      </c>
      <c r="E239" s="14">
        <f t="shared" si="0"/>
        <v>22499.6979033115</v>
      </c>
      <c r="F239" s="14">
        <f t="shared" si="1"/>
        <v>11011.8337014657</v>
      </c>
      <c r="G239" s="14">
        <f t="shared" si="2"/>
        <v>11487.8642018458</v>
      </c>
      <c r="H239" s="14">
        <f t="shared" si="3"/>
        <v>2391094.03429977</v>
      </c>
      <c r="I239" s="14">
        <f t="shared" si="4"/>
        <v>0</v>
      </c>
      <c r="J239" s="14">
        <f t="shared" si="5"/>
        <v>22499.6979033115</v>
      </c>
      <c r="K239" s="18"/>
    </row>
    <row r="240" ht="15.75" customHeight="1" spans="2:11">
      <c r="B240" s="2">
        <f t="shared" si="6"/>
        <v>215</v>
      </c>
      <c r="C240" s="17">
        <v>50649</v>
      </c>
      <c r="D240" s="14">
        <f t="shared" si="7"/>
        <v>2391094.03429977</v>
      </c>
      <c r="E240" s="14">
        <f t="shared" si="0"/>
        <v>22499.6979033115</v>
      </c>
      <c r="F240" s="14">
        <f t="shared" si="1"/>
        <v>10959.1809905406</v>
      </c>
      <c r="G240" s="14">
        <f t="shared" si="2"/>
        <v>11540.5169127709</v>
      </c>
      <c r="H240" s="14">
        <f t="shared" si="3"/>
        <v>2379553.517387</v>
      </c>
      <c r="I240" s="14">
        <f t="shared" si="4"/>
        <v>0</v>
      </c>
      <c r="J240" s="14">
        <f t="shared" si="5"/>
        <v>22499.6979033115</v>
      </c>
      <c r="K240" s="18"/>
    </row>
    <row r="241" ht="15.75" customHeight="1" spans="2:11">
      <c r="B241" s="2">
        <f t="shared" si="6"/>
        <v>216</v>
      </c>
      <c r="C241" s="17">
        <v>50679</v>
      </c>
      <c r="D241" s="14">
        <f t="shared" si="7"/>
        <v>2379553.517387</v>
      </c>
      <c r="E241" s="14">
        <f t="shared" si="0"/>
        <v>22499.6979033115</v>
      </c>
      <c r="F241" s="14">
        <f t="shared" si="1"/>
        <v>10906.2869546904</v>
      </c>
      <c r="G241" s="14">
        <f t="shared" si="2"/>
        <v>11593.4109486211</v>
      </c>
      <c r="H241" s="14">
        <f t="shared" si="3"/>
        <v>2367960.10643838</v>
      </c>
      <c r="I241" s="14">
        <f t="shared" si="4"/>
        <v>0</v>
      </c>
      <c r="J241" s="14">
        <f t="shared" si="5"/>
        <v>22499.6979033115</v>
      </c>
      <c r="K241" s="18"/>
    </row>
    <row r="242" ht="15.75" customHeight="1" spans="2:11">
      <c r="B242" s="2">
        <f t="shared" si="6"/>
        <v>217</v>
      </c>
      <c r="C242" s="17">
        <v>50710</v>
      </c>
      <c r="D242" s="14">
        <f t="shared" si="7"/>
        <v>2367960.10643838</v>
      </c>
      <c r="E242" s="14">
        <f t="shared" si="0"/>
        <v>22499.6979033115</v>
      </c>
      <c r="F242" s="14">
        <f t="shared" si="1"/>
        <v>10853.1504878426</v>
      </c>
      <c r="G242" s="14">
        <f t="shared" si="2"/>
        <v>11646.547415469</v>
      </c>
      <c r="H242" s="14">
        <f t="shared" si="3"/>
        <v>2356313.55902291</v>
      </c>
      <c r="I242" s="14">
        <f t="shared" si="4"/>
        <v>0</v>
      </c>
      <c r="J242" s="14">
        <f t="shared" si="5"/>
        <v>22499.6979033115</v>
      </c>
      <c r="K242" s="14">
        <f>SUM(I242:I253)</f>
        <v>0</v>
      </c>
    </row>
    <row r="243" ht="15.75" customHeight="1" spans="2:11">
      <c r="B243" s="2">
        <f t="shared" si="6"/>
        <v>218</v>
      </c>
      <c r="C243" s="17">
        <v>50740</v>
      </c>
      <c r="D243" s="14">
        <f t="shared" si="7"/>
        <v>2356313.55902291</v>
      </c>
      <c r="E243" s="14">
        <f t="shared" si="0"/>
        <v>22499.6979033115</v>
      </c>
      <c r="F243" s="14">
        <f t="shared" si="1"/>
        <v>10799.770478855</v>
      </c>
      <c r="G243" s="14">
        <f t="shared" si="2"/>
        <v>11699.9274244565</v>
      </c>
      <c r="H243" s="14">
        <f t="shared" si="3"/>
        <v>2344613.63159845</v>
      </c>
      <c r="I243" s="14">
        <f t="shared" si="4"/>
        <v>0</v>
      </c>
      <c r="J243" s="14">
        <f t="shared" si="5"/>
        <v>22499.6979033115</v>
      </c>
      <c r="K243" s="18"/>
    </row>
    <row r="244" ht="15.75" customHeight="1" spans="2:11">
      <c r="B244" s="2">
        <f t="shared" si="6"/>
        <v>219</v>
      </c>
      <c r="C244" s="17">
        <v>50771</v>
      </c>
      <c r="D244" s="14">
        <f t="shared" si="7"/>
        <v>2344613.63159845</v>
      </c>
      <c r="E244" s="14">
        <f t="shared" si="0"/>
        <v>22499.6979033115</v>
      </c>
      <c r="F244" s="14">
        <f t="shared" si="1"/>
        <v>10746.1458114929</v>
      </c>
      <c r="G244" s="14">
        <f t="shared" si="2"/>
        <v>11753.5520918186</v>
      </c>
      <c r="H244" s="14">
        <f t="shared" si="3"/>
        <v>2332860.07950663</v>
      </c>
      <c r="I244" s="14">
        <f t="shared" si="4"/>
        <v>0</v>
      </c>
      <c r="J244" s="14">
        <f t="shared" si="5"/>
        <v>22499.6979033115</v>
      </c>
      <c r="K244" s="18"/>
    </row>
    <row r="245" ht="15.75" customHeight="1" spans="2:11">
      <c r="B245" s="2">
        <f t="shared" si="6"/>
        <v>220</v>
      </c>
      <c r="C245" s="17">
        <v>50802</v>
      </c>
      <c r="D245" s="14">
        <f t="shared" si="7"/>
        <v>2332860.07950663</v>
      </c>
      <c r="E245" s="14">
        <f t="shared" si="0"/>
        <v>22499.6979033115</v>
      </c>
      <c r="F245" s="14">
        <f t="shared" si="1"/>
        <v>10692.2753644054</v>
      </c>
      <c r="G245" s="14">
        <f t="shared" si="2"/>
        <v>11807.4225389061</v>
      </c>
      <c r="H245" s="14">
        <f t="shared" si="3"/>
        <v>2321052.65696773</v>
      </c>
      <c r="I245" s="14">
        <f t="shared" si="4"/>
        <v>0</v>
      </c>
      <c r="J245" s="14">
        <f t="shared" si="5"/>
        <v>22499.6979033115</v>
      </c>
      <c r="K245" s="18"/>
    </row>
    <row r="246" ht="15.75" customHeight="1" spans="2:11">
      <c r="B246" s="2">
        <f t="shared" si="6"/>
        <v>221</v>
      </c>
      <c r="C246" s="17">
        <v>50830</v>
      </c>
      <c r="D246" s="14">
        <f t="shared" si="7"/>
        <v>2321052.65696773</v>
      </c>
      <c r="E246" s="14">
        <f t="shared" si="0"/>
        <v>22499.6979033115</v>
      </c>
      <c r="F246" s="14">
        <f t="shared" si="1"/>
        <v>10638.1580111021</v>
      </c>
      <c r="G246" s="14">
        <f t="shared" si="2"/>
        <v>11861.5398922094</v>
      </c>
      <c r="H246" s="14">
        <f t="shared" si="3"/>
        <v>2309191.11707552</v>
      </c>
      <c r="I246" s="14">
        <f t="shared" si="4"/>
        <v>0</v>
      </c>
      <c r="J246" s="14">
        <f t="shared" si="5"/>
        <v>22499.6979033115</v>
      </c>
      <c r="K246" s="18"/>
    </row>
    <row r="247" ht="15.75" customHeight="1" spans="2:11">
      <c r="B247" s="2">
        <f t="shared" si="6"/>
        <v>222</v>
      </c>
      <c r="C247" s="17">
        <v>50861</v>
      </c>
      <c r="D247" s="14">
        <f t="shared" si="7"/>
        <v>2309191.11707552</v>
      </c>
      <c r="E247" s="14">
        <f t="shared" si="0"/>
        <v>22499.6979033115</v>
      </c>
      <c r="F247" s="14">
        <f t="shared" si="1"/>
        <v>10583.7926199294</v>
      </c>
      <c r="G247" s="14">
        <f t="shared" si="2"/>
        <v>11915.9052833821</v>
      </c>
      <c r="H247" s="14">
        <f t="shared" si="3"/>
        <v>2297275.21179214</v>
      </c>
      <c r="I247" s="14">
        <f t="shared" si="4"/>
        <v>0</v>
      </c>
      <c r="J247" s="14">
        <f t="shared" si="5"/>
        <v>22499.6979033115</v>
      </c>
      <c r="K247" s="18"/>
    </row>
    <row r="248" ht="15.75" customHeight="1" spans="2:11">
      <c r="B248" s="2">
        <f t="shared" si="6"/>
        <v>223</v>
      </c>
      <c r="C248" s="17">
        <v>50891</v>
      </c>
      <c r="D248" s="14">
        <f t="shared" si="7"/>
        <v>2297275.21179214</v>
      </c>
      <c r="E248" s="14">
        <f t="shared" si="0"/>
        <v>22499.6979033115</v>
      </c>
      <c r="F248" s="14">
        <f t="shared" si="1"/>
        <v>10529.1780540473</v>
      </c>
      <c r="G248" s="14">
        <f t="shared" si="2"/>
        <v>11970.5198492642</v>
      </c>
      <c r="H248" s="14">
        <f t="shared" si="3"/>
        <v>2285304.69194287</v>
      </c>
      <c r="I248" s="14">
        <f t="shared" si="4"/>
        <v>0</v>
      </c>
      <c r="J248" s="14">
        <f t="shared" si="5"/>
        <v>22499.6979033115</v>
      </c>
      <c r="K248" s="18"/>
    </row>
    <row r="249" ht="15.75" customHeight="1" spans="2:11">
      <c r="B249" s="2">
        <f t="shared" si="6"/>
        <v>224</v>
      </c>
      <c r="C249" s="17">
        <v>50922</v>
      </c>
      <c r="D249" s="14">
        <f t="shared" si="7"/>
        <v>2285304.69194287</v>
      </c>
      <c r="E249" s="14">
        <f t="shared" si="0"/>
        <v>22499.6979033115</v>
      </c>
      <c r="F249" s="14">
        <f t="shared" si="1"/>
        <v>10474.3131714048</v>
      </c>
      <c r="G249" s="14">
        <f t="shared" si="2"/>
        <v>12025.3847319067</v>
      </c>
      <c r="H249" s="14">
        <f t="shared" si="3"/>
        <v>2273279.30721097</v>
      </c>
      <c r="I249" s="14">
        <f t="shared" si="4"/>
        <v>0</v>
      </c>
      <c r="J249" s="14">
        <f t="shared" si="5"/>
        <v>22499.6979033115</v>
      </c>
      <c r="K249" s="18"/>
    </row>
    <row r="250" ht="15.75" customHeight="1" spans="2:11">
      <c r="B250" s="2">
        <f t="shared" si="6"/>
        <v>225</v>
      </c>
      <c r="C250" s="17">
        <v>50952</v>
      </c>
      <c r="D250" s="14">
        <f t="shared" si="7"/>
        <v>2273279.30721097</v>
      </c>
      <c r="E250" s="14">
        <f t="shared" si="0"/>
        <v>22499.6979033115</v>
      </c>
      <c r="F250" s="14">
        <f t="shared" si="1"/>
        <v>10419.1968247169</v>
      </c>
      <c r="G250" s="14">
        <f t="shared" si="2"/>
        <v>12080.5010785946</v>
      </c>
      <c r="H250" s="14">
        <f t="shared" si="3"/>
        <v>2261198.80613237</v>
      </c>
      <c r="I250" s="14">
        <f t="shared" si="4"/>
        <v>0</v>
      </c>
      <c r="J250" s="14">
        <f t="shared" si="5"/>
        <v>22499.6979033115</v>
      </c>
      <c r="K250" s="18"/>
    </row>
    <row r="251" ht="15.75" customHeight="1" spans="2:11">
      <c r="B251" s="2">
        <f t="shared" si="6"/>
        <v>226</v>
      </c>
      <c r="C251" s="17">
        <v>50983</v>
      </c>
      <c r="D251" s="14">
        <f t="shared" si="7"/>
        <v>2261198.80613237</v>
      </c>
      <c r="E251" s="14">
        <f t="shared" si="0"/>
        <v>22499.6979033115</v>
      </c>
      <c r="F251" s="14">
        <f t="shared" si="1"/>
        <v>10363.82786144</v>
      </c>
      <c r="G251" s="14">
        <f t="shared" si="2"/>
        <v>12135.8700418715</v>
      </c>
      <c r="H251" s="14">
        <f t="shared" si="3"/>
        <v>2249062.9360905</v>
      </c>
      <c r="I251" s="14">
        <f t="shared" si="4"/>
        <v>0</v>
      </c>
      <c r="J251" s="14">
        <f t="shared" si="5"/>
        <v>22499.6979033115</v>
      </c>
      <c r="K251" s="18"/>
    </row>
    <row r="252" ht="15.75" customHeight="1" spans="2:11">
      <c r="B252" s="2">
        <f t="shared" si="6"/>
        <v>227</v>
      </c>
      <c r="C252" s="17">
        <v>51014</v>
      </c>
      <c r="D252" s="14">
        <f t="shared" si="7"/>
        <v>2249062.9360905</v>
      </c>
      <c r="E252" s="14">
        <f t="shared" si="0"/>
        <v>22499.6979033115</v>
      </c>
      <c r="F252" s="14">
        <f t="shared" si="1"/>
        <v>10308.2051237481</v>
      </c>
      <c r="G252" s="14">
        <f t="shared" si="2"/>
        <v>12191.4927795634</v>
      </c>
      <c r="H252" s="14">
        <f t="shared" si="3"/>
        <v>2236871.44331094</v>
      </c>
      <c r="I252" s="14">
        <f t="shared" si="4"/>
        <v>0</v>
      </c>
      <c r="J252" s="14">
        <f t="shared" si="5"/>
        <v>22499.6979033115</v>
      </c>
      <c r="K252" s="18"/>
    </row>
    <row r="253" ht="15.75" customHeight="1" spans="2:11">
      <c r="B253" s="2">
        <f t="shared" si="6"/>
        <v>228</v>
      </c>
      <c r="C253" s="17">
        <v>51044</v>
      </c>
      <c r="D253" s="14">
        <f t="shared" si="7"/>
        <v>2236871.44331094</v>
      </c>
      <c r="E253" s="14">
        <f t="shared" si="0"/>
        <v>22499.6979033115</v>
      </c>
      <c r="F253" s="14">
        <f t="shared" si="1"/>
        <v>10252.3274485084</v>
      </c>
      <c r="G253" s="14">
        <f t="shared" si="2"/>
        <v>12247.3704548031</v>
      </c>
      <c r="H253" s="14">
        <f t="shared" si="3"/>
        <v>2224624.07285613</v>
      </c>
      <c r="I253" s="14">
        <f t="shared" si="4"/>
        <v>0</v>
      </c>
      <c r="J253" s="14">
        <f t="shared" si="5"/>
        <v>22499.6979033115</v>
      </c>
      <c r="K253" s="18"/>
    </row>
    <row r="254" ht="15.75" customHeight="1" spans="2:11">
      <c r="B254" s="2">
        <f t="shared" si="6"/>
        <v>229</v>
      </c>
      <c r="C254" s="17">
        <v>51075</v>
      </c>
      <c r="D254" s="14">
        <f t="shared" si="7"/>
        <v>2224624.07285613</v>
      </c>
      <c r="E254" s="14">
        <f t="shared" si="0"/>
        <v>22499.6979033115</v>
      </c>
      <c r="F254" s="14">
        <f t="shared" si="1"/>
        <v>10196.1936672573</v>
      </c>
      <c r="G254" s="14">
        <f t="shared" si="2"/>
        <v>12303.5042360542</v>
      </c>
      <c r="H254" s="14">
        <f t="shared" si="3"/>
        <v>2212320.56862008</v>
      </c>
      <c r="I254" s="14">
        <f t="shared" si="4"/>
        <v>0</v>
      </c>
      <c r="J254" s="14">
        <f t="shared" si="5"/>
        <v>22499.6979033115</v>
      </c>
      <c r="K254" s="14">
        <f>SUM(I254:I265)</f>
        <v>0</v>
      </c>
    </row>
    <row r="255" ht="15.75" customHeight="1" spans="2:11">
      <c r="B255" s="2">
        <f t="shared" si="6"/>
        <v>230</v>
      </c>
      <c r="C255" s="17">
        <v>51105</v>
      </c>
      <c r="D255" s="14">
        <f t="shared" si="7"/>
        <v>2212320.56862008</v>
      </c>
      <c r="E255" s="14">
        <f t="shared" si="0"/>
        <v>22499.6979033115</v>
      </c>
      <c r="F255" s="14">
        <f t="shared" si="1"/>
        <v>10139.8026061754</v>
      </c>
      <c r="G255" s="14">
        <f t="shared" si="2"/>
        <v>12359.8952971362</v>
      </c>
      <c r="H255" s="14">
        <f t="shared" si="3"/>
        <v>2199960.67332294</v>
      </c>
      <c r="I255" s="14">
        <f t="shared" si="4"/>
        <v>0</v>
      </c>
      <c r="J255" s="14">
        <f t="shared" si="5"/>
        <v>22499.6979033115</v>
      </c>
      <c r="K255" s="18"/>
    </row>
    <row r="256" ht="15.75" customHeight="1" spans="2:11">
      <c r="B256" s="2">
        <f t="shared" si="6"/>
        <v>231</v>
      </c>
      <c r="C256" s="17">
        <v>51136</v>
      </c>
      <c r="D256" s="14">
        <f t="shared" si="7"/>
        <v>2199960.67332294</v>
      </c>
      <c r="E256" s="14">
        <f t="shared" si="0"/>
        <v>22499.6979033115</v>
      </c>
      <c r="F256" s="14">
        <f t="shared" si="1"/>
        <v>10083.1530860635</v>
      </c>
      <c r="G256" s="14">
        <f t="shared" si="2"/>
        <v>12416.544817248</v>
      </c>
      <c r="H256" s="14">
        <f t="shared" si="3"/>
        <v>2187544.12850569</v>
      </c>
      <c r="I256" s="14">
        <f t="shared" si="4"/>
        <v>0</v>
      </c>
      <c r="J256" s="14">
        <f t="shared" si="5"/>
        <v>22499.6979033115</v>
      </c>
      <c r="K256" s="18"/>
    </row>
    <row r="257" ht="15.75" customHeight="1" spans="2:11">
      <c r="B257" s="2">
        <f t="shared" si="6"/>
        <v>232</v>
      </c>
      <c r="C257" s="17">
        <v>51167</v>
      </c>
      <c r="D257" s="14">
        <f t="shared" si="7"/>
        <v>2187544.12850569</v>
      </c>
      <c r="E257" s="14">
        <f t="shared" si="0"/>
        <v>22499.6979033115</v>
      </c>
      <c r="F257" s="14">
        <f t="shared" si="1"/>
        <v>10026.2439223178</v>
      </c>
      <c r="G257" s="14">
        <f t="shared" si="2"/>
        <v>12473.4539809938</v>
      </c>
      <c r="H257" s="14">
        <f t="shared" si="3"/>
        <v>2175070.6745247</v>
      </c>
      <c r="I257" s="14">
        <f t="shared" si="4"/>
        <v>0</v>
      </c>
      <c r="J257" s="14">
        <f t="shared" si="5"/>
        <v>22499.6979033115</v>
      </c>
      <c r="K257" s="18"/>
    </row>
    <row r="258" ht="15.75" customHeight="1" spans="2:11">
      <c r="B258" s="2">
        <f t="shared" si="6"/>
        <v>233</v>
      </c>
      <c r="C258" s="17">
        <v>51196</v>
      </c>
      <c r="D258" s="14">
        <f t="shared" si="7"/>
        <v>2175070.6745247</v>
      </c>
      <c r="E258" s="14">
        <f t="shared" si="0"/>
        <v>22499.6979033115</v>
      </c>
      <c r="F258" s="14">
        <f t="shared" si="1"/>
        <v>9969.07392490487</v>
      </c>
      <c r="G258" s="14">
        <f t="shared" si="2"/>
        <v>12530.6239784066</v>
      </c>
      <c r="H258" s="14">
        <f t="shared" si="3"/>
        <v>2162540.05054629</v>
      </c>
      <c r="I258" s="14">
        <f t="shared" si="4"/>
        <v>0</v>
      </c>
      <c r="J258" s="14">
        <f t="shared" si="5"/>
        <v>22499.6979033115</v>
      </c>
      <c r="K258" s="18"/>
    </row>
    <row r="259" ht="15.75" customHeight="1" spans="2:11">
      <c r="B259" s="2">
        <f t="shared" si="6"/>
        <v>234</v>
      </c>
      <c r="C259" s="17">
        <v>51227</v>
      </c>
      <c r="D259" s="14">
        <f t="shared" si="7"/>
        <v>2162540.05054629</v>
      </c>
      <c r="E259" s="14">
        <f t="shared" si="0"/>
        <v>22499.6979033115</v>
      </c>
      <c r="F259" s="14">
        <f t="shared" si="1"/>
        <v>9911.64189833717</v>
      </c>
      <c r="G259" s="14">
        <f t="shared" si="2"/>
        <v>12588.0560049743</v>
      </c>
      <c r="H259" s="14">
        <f t="shared" si="3"/>
        <v>2149951.99454132</v>
      </c>
      <c r="I259" s="14">
        <f t="shared" si="4"/>
        <v>0</v>
      </c>
      <c r="J259" s="14">
        <f t="shared" si="5"/>
        <v>22499.6979033115</v>
      </c>
      <c r="K259" s="18"/>
    </row>
    <row r="260" ht="15.75" customHeight="1" spans="2:11">
      <c r="B260" s="2">
        <f t="shared" si="6"/>
        <v>235</v>
      </c>
      <c r="C260" s="17">
        <v>51257</v>
      </c>
      <c r="D260" s="14">
        <f t="shared" si="7"/>
        <v>2149951.99454132</v>
      </c>
      <c r="E260" s="14">
        <f t="shared" si="0"/>
        <v>22499.6979033115</v>
      </c>
      <c r="F260" s="14">
        <f t="shared" si="1"/>
        <v>9853.94664164771</v>
      </c>
      <c r="G260" s="14">
        <f t="shared" si="2"/>
        <v>12645.7512616638</v>
      </c>
      <c r="H260" s="14">
        <f t="shared" si="3"/>
        <v>2137306.24327966</v>
      </c>
      <c r="I260" s="14">
        <f t="shared" si="4"/>
        <v>0</v>
      </c>
      <c r="J260" s="14">
        <f t="shared" si="5"/>
        <v>22499.6979033115</v>
      </c>
      <c r="K260" s="18"/>
    </row>
    <row r="261" ht="15.75" customHeight="1" spans="2:11">
      <c r="B261" s="2">
        <f t="shared" si="6"/>
        <v>236</v>
      </c>
      <c r="C261" s="17">
        <v>51288</v>
      </c>
      <c r="D261" s="14">
        <f t="shared" si="7"/>
        <v>2137306.24327966</v>
      </c>
      <c r="E261" s="14">
        <f t="shared" si="0"/>
        <v>22499.6979033115</v>
      </c>
      <c r="F261" s="14">
        <f t="shared" si="1"/>
        <v>9795.98694836508</v>
      </c>
      <c r="G261" s="14">
        <f t="shared" si="2"/>
        <v>12703.7109549464</v>
      </c>
      <c r="H261" s="14">
        <f t="shared" si="3"/>
        <v>2124602.53232471</v>
      </c>
      <c r="I261" s="14">
        <f t="shared" si="4"/>
        <v>0</v>
      </c>
      <c r="J261" s="14">
        <f t="shared" si="5"/>
        <v>22499.6979033115</v>
      </c>
      <c r="K261" s="18"/>
    </row>
    <row r="262" ht="15.75" customHeight="1" spans="2:11">
      <c r="B262" s="2">
        <f t="shared" si="6"/>
        <v>237</v>
      </c>
      <c r="C262" s="17">
        <v>51318</v>
      </c>
      <c r="D262" s="14">
        <f t="shared" si="7"/>
        <v>2124602.53232471</v>
      </c>
      <c r="E262" s="14">
        <f t="shared" si="0"/>
        <v>22499.6979033115</v>
      </c>
      <c r="F262" s="14">
        <f t="shared" si="1"/>
        <v>9737.76160648824</v>
      </c>
      <c r="G262" s="14">
        <f t="shared" si="2"/>
        <v>12761.9362968233</v>
      </c>
      <c r="H262" s="14">
        <f t="shared" si="3"/>
        <v>2111840.59602789</v>
      </c>
      <c r="I262" s="14">
        <f t="shared" si="4"/>
        <v>0</v>
      </c>
      <c r="J262" s="14">
        <f t="shared" si="5"/>
        <v>22499.6979033115</v>
      </c>
      <c r="K262" s="18"/>
    </row>
    <row r="263" ht="15.75" customHeight="1" spans="2:11">
      <c r="B263" s="2">
        <f t="shared" si="6"/>
        <v>238</v>
      </c>
      <c r="C263" s="17">
        <v>51349</v>
      </c>
      <c r="D263" s="14">
        <f t="shared" si="7"/>
        <v>2111840.59602789</v>
      </c>
      <c r="E263" s="14">
        <f t="shared" si="0"/>
        <v>22499.6979033115</v>
      </c>
      <c r="F263" s="14">
        <f t="shared" si="1"/>
        <v>9679.26939846114</v>
      </c>
      <c r="G263" s="14">
        <f t="shared" si="2"/>
        <v>12820.4285048504</v>
      </c>
      <c r="H263" s="14">
        <f t="shared" si="3"/>
        <v>2099020.16752304</v>
      </c>
      <c r="I263" s="14">
        <f t="shared" si="4"/>
        <v>0</v>
      </c>
      <c r="J263" s="14">
        <f t="shared" si="5"/>
        <v>22499.6979033115</v>
      </c>
      <c r="K263" s="18"/>
    </row>
    <row r="264" ht="15.75" customHeight="1" spans="2:11">
      <c r="B264" s="2">
        <f t="shared" si="6"/>
        <v>239</v>
      </c>
      <c r="C264" s="17">
        <v>51380</v>
      </c>
      <c r="D264" s="14">
        <f t="shared" si="7"/>
        <v>2099020.16752304</v>
      </c>
      <c r="E264" s="14">
        <f t="shared" si="0"/>
        <v>22499.6979033115</v>
      </c>
      <c r="F264" s="14">
        <f t="shared" si="1"/>
        <v>9620.50910114724</v>
      </c>
      <c r="G264" s="14">
        <f t="shared" si="2"/>
        <v>12879.1888021643</v>
      </c>
      <c r="H264" s="14">
        <f t="shared" si="3"/>
        <v>2086140.97872087</v>
      </c>
      <c r="I264" s="14">
        <f t="shared" si="4"/>
        <v>0</v>
      </c>
      <c r="J264" s="14">
        <f t="shared" si="5"/>
        <v>22499.6979033115</v>
      </c>
      <c r="K264" s="18"/>
    </row>
    <row r="265" ht="15.75" customHeight="1" spans="2:11">
      <c r="B265" s="2">
        <f t="shared" si="6"/>
        <v>240</v>
      </c>
      <c r="C265" s="17">
        <v>51410</v>
      </c>
      <c r="D265" s="14">
        <f t="shared" si="7"/>
        <v>2086140.97872087</v>
      </c>
      <c r="E265" s="14">
        <f t="shared" si="0"/>
        <v>22499.6979033115</v>
      </c>
      <c r="F265" s="14">
        <f t="shared" si="1"/>
        <v>9561.47948580399</v>
      </c>
      <c r="G265" s="14">
        <f t="shared" si="2"/>
        <v>12938.2184175075</v>
      </c>
      <c r="H265" s="14">
        <f t="shared" si="3"/>
        <v>2073202.76030336</v>
      </c>
      <c r="I265" s="14">
        <f t="shared" si="4"/>
        <v>0</v>
      </c>
      <c r="J265" s="14">
        <f t="shared" si="5"/>
        <v>22499.6979033115</v>
      </c>
      <c r="K265" s="18"/>
    </row>
    <row r="266" ht="15.75" customHeight="1" spans="2:11">
      <c r="B266" s="2">
        <f t="shared" si="6"/>
        <v>241</v>
      </c>
      <c r="C266" s="17">
        <v>51441</v>
      </c>
      <c r="D266" s="14">
        <f t="shared" si="7"/>
        <v>2073202.76030336</v>
      </c>
      <c r="E266" s="14">
        <f t="shared" si="0"/>
        <v>22499.6979033115</v>
      </c>
      <c r="F266" s="14">
        <f t="shared" si="1"/>
        <v>9502.17931805708</v>
      </c>
      <c r="G266" s="14">
        <f t="shared" si="2"/>
        <v>12997.5185852544</v>
      </c>
      <c r="H266" s="14">
        <f t="shared" si="3"/>
        <v>2060205.24171811</v>
      </c>
      <c r="I266" s="14">
        <f t="shared" si="4"/>
        <v>0</v>
      </c>
      <c r="J266" s="14">
        <f t="shared" si="5"/>
        <v>22499.6979033115</v>
      </c>
      <c r="K266" s="14">
        <f>SUM(I266:I277)</f>
        <v>0</v>
      </c>
    </row>
    <row r="267" ht="15.75" customHeight="1" spans="2:11">
      <c r="B267" s="2">
        <f t="shared" si="6"/>
        <v>242</v>
      </c>
      <c r="C267" s="17">
        <v>51471</v>
      </c>
      <c r="D267" s="14">
        <f t="shared" si="7"/>
        <v>2060205.24171811</v>
      </c>
      <c r="E267" s="14">
        <f t="shared" si="0"/>
        <v>22499.6979033115</v>
      </c>
      <c r="F267" s="14">
        <f t="shared" si="1"/>
        <v>9442.60735787466</v>
      </c>
      <c r="G267" s="14">
        <f t="shared" si="2"/>
        <v>13057.0905454369</v>
      </c>
      <c r="H267" s="14">
        <f t="shared" si="3"/>
        <v>2047148.15117267</v>
      </c>
      <c r="I267" s="14">
        <f t="shared" si="4"/>
        <v>0</v>
      </c>
      <c r="J267" s="14">
        <f t="shared" si="5"/>
        <v>22499.6979033115</v>
      </c>
      <c r="K267" s="18"/>
    </row>
    <row r="268" ht="15.75" customHeight="1" spans="2:11">
      <c r="B268" s="2">
        <f t="shared" si="6"/>
        <v>243</v>
      </c>
      <c r="C268" s="17">
        <v>51502</v>
      </c>
      <c r="D268" s="14">
        <f t="shared" si="7"/>
        <v>2047148.15117267</v>
      </c>
      <c r="E268" s="14">
        <f t="shared" si="0"/>
        <v>22499.6979033115</v>
      </c>
      <c r="F268" s="14">
        <f t="shared" si="1"/>
        <v>9382.76235954141</v>
      </c>
      <c r="G268" s="14">
        <f t="shared" si="2"/>
        <v>13116.9355437701</v>
      </c>
      <c r="H268" s="14">
        <f t="shared" si="3"/>
        <v>2034031.2156289</v>
      </c>
      <c r="I268" s="14">
        <f t="shared" si="4"/>
        <v>0</v>
      </c>
      <c r="J268" s="14">
        <f t="shared" si="5"/>
        <v>22499.6979033115</v>
      </c>
      <c r="K268" s="18"/>
    </row>
    <row r="269" ht="15.75" customHeight="1" spans="2:11">
      <c r="B269" s="2">
        <f t="shared" si="6"/>
        <v>244</v>
      </c>
      <c r="C269" s="17">
        <v>51533</v>
      </c>
      <c r="D269" s="14">
        <f t="shared" si="7"/>
        <v>2034031.2156289</v>
      </c>
      <c r="E269" s="14">
        <f t="shared" si="0"/>
        <v>22499.6979033115</v>
      </c>
      <c r="F269" s="14">
        <f t="shared" si="1"/>
        <v>9322.64307163246</v>
      </c>
      <c r="G269" s="14">
        <f t="shared" si="2"/>
        <v>13177.0548316791</v>
      </c>
      <c r="H269" s="14">
        <f t="shared" si="3"/>
        <v>2020854.16079722</v>
      </c>
      <c r="I269" s="14">
        <f t="shared" si="4"/>
        <v>0</v>
      </c>
      <c r="J269" s="14">
        <f t="shared" si="5"/>
        <v>22499.6979033115</v>
      </c>
      <c r="K269" s="18"/>
    </row>
    <row r="270" ht="15.75" customHeight="1" spans="2:11">
      <c r="B270" s="2">
        <f t="shared" si="6"/>
        <v>245</v>
      </c>
      <c r="C270" s="17">
        <v>51561</v>
      </c>
      <c r="D270" s="14">
        <f t="shared" si="7"/>
        <v>2020854.16079722</v>
      </c>
      <c r="E270" s="14">
        <f t="shared" si="0"/>
        <v>22499.6979033115</v>
      </c>
      <c r="F270" s="14">
        <f t="shared" si="1"/>
        <v>9262.24823698727</v>
      </c>
      <c r="G270" s="14">
        <f t="shared" si="2"/>
        <v>13237.4496663242</v>
      </c>
      <c r="H270" s="14">
        <f t="shared" si="3"/>
        <v>2007616.7111309</v>
      </c>
      <c r="I270" s="14">
        <f t="shared" si="4"/>
        <v>0</v>
      </c>
      <c r="J270" s="14">
        <f t="shared" si="5"/>
        <v>22499.6979033115</v>
      </c>
      <c r="K270" s="18"/>
    </row>
    <row r="271" ht="15.75" customHeight="1" spans="2:11">
      <c r="B271" s="2">
        <f t="shared" si="6"/>
        <v>246</v>
      </c>
      <c r="C271" s="17">
        <v>51592</v>
      </c>
      <c r="D271" s="14">
        <f t="shared" si="7"/>
        <v>2007616.7111309</v>
      </c>
      <c r="E271" s="14">
        <f t="shared" si="0"/>
        <v>22499.6979033115</v>
      </c>
      <c r="F271" s="14">
        <f t="shared" si="1"/>
        <v>9201.57659268328</v>
      </c>
      <c r="G271" s="14">
        <f t="shared" si="2"/>
        <v>13298.1213106282</v>
      </c>
      <c r="H271" s="14">
        <f t="shared" si="3"/>
        <v>1994318.58982027</v>
      </c>
      <c r="I271" s="14">
        <f t="shared" si="4"/>
        <v>0</v>
      </c>
      <c r="J271" s="14">
        <f t="shared" si="5"/>
        <v>22499.6979033115</v>
      </c>
      <c r="K271" s="18"/>
    </row>
    <row r="272" ht="15.75" customHeight="1" spans="2:11">
      <c r="B272" s="2">
        <f t="shared" si="6"/>
        <v>247</v>
      </c>
      <c r="C272" s="17">
        <v>51622</v>
      </c>
      <c r="D272" s="14">
        <f t="shared" si="7"/>
        <v>1994318.58982027</v>
      </c>
      <c r="E272" s="14">
        <f t="shared" si="0"/>
        <v>22499.6979033115</v>
      </c>
      <c r="F272" s="14">
        <f t="shared" si="1"/>
        <v>9140.62687000957</v>
      </c>
      <c r="G272" s="14">
        <f t="shared" si="2"/>
        <v>13359.0710333019</v>
      </c>
      <c r="H272" s="14">
        <f t="shared" si="3"/>
        <v>1980959.51878697</v>
      </c>
      <c r="I272" s="14">
        <f t="shared" si="4"/>
        <v>0</v>
      </c>
      <c r="J272" s="14">
        <f t="shared" si="5"/>
        <v>22499.6979033115</v>
      </c>
      <c r="K272" s="18"/>
    </row>
    <row r="273" ht="15.75" customHeight="1" spans="2:11">
      <c r="B273" s="2">
        <f t="shared" si="6"/>
        <v>248</v>
      </c>
      <c r="C273" s="17">
        <v>51653</v>
      </c>
      <c r="D273" s="14">
        <f t="shared" si="7"/>
        <v>1980959.51878697</v>
      </c>
      <c r="E273" s="14">
        <f t="shared" si="0"/>
        <v>22499.6979033115</v>
      </c>
      <c r="F273" s="14">
        <f t="shared" si="1"/>
        <v>9079.39779444027</v>
      </c>
      <c r="G273" s="14">
        <f t="shared" si="2"/>
        <v>13420.3001088712</v>
      </c>
      <c r="H273" s="14">
        <f t="shared" si="3"/>
        <v>1967539.2186781</v>
      </c>
      <c r="I273" s="14">
        <f t="shared" si="4"/>
        <v>0</v>
      </c>
      <c r="J273" s="14">
        <f t="shared" si="5"/>
        <v>22499.6979033115</v>
      </c>
      <c r="K273" s="18"/>
    </row>
    <row r="274" ht="15.75" customHeight="1" spans="2:11">
      <c r="B274" s="2">
        <f t="shared" si="6"/>
        <v>249</v>
      </c>
      <c r="C274" s="17">
        <v>51683</v>
      </c>
      <c r="D274" s="14">
        <f t="shared" si="7"/>
        <v>1967539.2186781</v>
      </c>
      <c r="E274" s="14">
        <f t="shared" si="0"/>
        <v>22499.6979033115</v>
      </c>
      <c r="F274" s="14">
        <f t="shared" si="1"/>
        <v>9017.88808560794</v>
      </c>
      <c r="G274" s="14">
        <f t="shared" si="2"/>
        <v>13481.8098177036</v>
      </c>
      <c r="H274" s="14">
        <f t="shared" si="3"/>
        <v>1954057.40886039</v>
      </c>
      <c r="I274" s="14">
        <f t="shared" si="4"/>
        <v>0</v>
      </c>
      <c r="J274" s="14">
        <f t="shared" si="5"/>
        <v>22499.6979033115</v>
      </c>
      <c r="K274" s="18"/>
    </row>
    <row r="275" ht="15.75" customHeight="1" spans="2:11">
      <c r="B275" s="2">
        <f t="shared" si="6"/>
        <v>250</v>
      </c>
      <c r="C275" s="17">
        <v>51714</v>
      </c>
      <c r="D275" s="14">
        <f t="shared" si="7"/>
        <v>1954057.40886039</v>
      </c>
      <c r="E275" s="14">
        <f t="shared" si="0"/>
        <v>22499.6979033115</v>
      </c>
      <c r="F275" s="14">
        <f t="shared" si="1"/>
        <v>8956.0964572768</v>
      </c>
      <c r="G275" s="14">
        <f t="shared" si="2"/>
        <v>13543.6014460347</v>
      </c>
      <c r="H275" s="14">
        <f t="shared" si="3"/>
        <v>1940513.80741436</v>
      </c>
      <c r="I275" s="14">
        <f t="shared" si="4"/>
        <v>0</v>
      </c>
      <c r="J275" s="14">
        <f t="shared" si="5"/>
        <v>22499.6979033115</v>
      </c>
      <c r="K275" s="18"/>
    </row>
    <row r="276" ht="15.75" customHeight="1" spans="2:11">
      <c r="B276" s="2">
        <f t="shared" si="6"/>
        <v>251</v>
      </c>
      <c r="C276" s="17">
        <v>51745</v>
      </c>
      <c r="D276" s="14">
        <f t="shared" si="7"/>
        <v>1940513.80741436</v>
      </c>
      <c r="E276" s="14">
        <f t="shared" si="0"/>
        <v>22499.6979033115</v>
      </c>
      <c r="F276" s="14">
        <f t="shared" si="1"/>
        <v>8894.02161731581</v>
      </c>
      <c r="G276" s="14">
        <f t="shared" si="2"/>
        <v>13605.6762859957</v>
      </c>
      <c r="H276" s="14">
        <f t="shared" si="3"/>
        <v>1926908.13112836</v>
      </c>
      <c r="I276" s="14">
        <f t="shared" si="4"/>
        <v>0</v>
      </c>
      <c r="J276" s="14">
        <f t="shared" si="5"/>
        <v>22499.6979033115</v>
      </c>
      <c r="K276" s="18"/>
    </row>
    <row r="277" ht="15.75" customHeight="1" spans="2:11">
      <c r="B277" s="2">
        <f t="shared" si="6"/>
        <v>252</v>
      </c>
      <c r="C277" s="17">
        <v>51775</v>
      </c>
      <c r="D277" s="14">
        <f t="shared" si="7"/>
        <v>1926908.13112836</v>
      </c>
      <c r="E277" s="14">
        <f t="shared" si="0"/>
        <v>22499.6979033115</v>
      </c>
      <c r="F277" s="14">
        <f t="shared" si="1"/>
        <v>8831.66226767166</v>
      </c>
      <c r="G277" s="14">
        <f t="shared" si="2"/>
        <v>13668.0356356399</v>
      </c>
      <c r="H277" s="14">
        <f t="shared" si="3"/>
        <v>1913240.09549272</v>
      </c>
      <c r="I277" s="14">
        <f t="shared" si="4"/>
        <v>0</v>
      </c>
      <c r="J277" s="14">
        <f t="shared" si="5"/>
        <v>22499.6979033115</v>
      </c>
      <c r="K277" s="18"/>
    </row>
    <row r="278" ht="15.75" customHeight="1" spans="2:11">
      <c r="B278" s="2">
        <f t="shared" si="6"/>
        <v>253</v>
      </c>
      <c r="C278" s="17">
        <v>51806</v>
      </c>
      <c r="D278" s="14">
        <f t="shared" si="7"/>
        <v>1913240.09549272</v>
      </c>
      <c r="E278" s="14">
        <f t="shared" si="0"/>
        <v>22499.6979033115</v>
      </c>
      <c r="F278" s="14">
        <f t="shared" si="1"/>
        <v>8769.01710434164</v>
      </c>
      <c r="G278" s="14">
        <f t="shared" si="2"/>
        <v>13730.6807989699</v>
      </c>
      <c r="H278" s="14">
        <f t="shared" si="3"/>
        <v>1899509.41469375</v>
      </c>
      <c r="I278" s="14">
        <f t="shared" si="4"/>
        <v>0</v>
      </c>
      <c r="J278" s="14">
        <f t="shared" si="5"/>
        <v>22499.6979033115</v>
      </c>
      <c r="K278" s="14">
        <f>SUM(I278:I289)</f>
        <v>0</v>
      </c>
    </row>
    <row r="279" ht="15.75" customHeight="1" spans="2:11">
      <c r="B279" s="2">
        <f t="shared" si="6"/>
        <v>254</v>
      </c>
      <c r="C279" s="17">
        <v>51836</v>
      </c>
      <c r="D279" s="14">
        <f t="shared" si="7"/>
        <v>1899509.41469375</v>
      </c>
      <c r="E279" s="14">
        <f t="shared" si="0"/>
        <v>22499.6979033115</v>
      </c>
      <c r="F279" s="14">
        <f t="shared" si="1"/>
        <v>8706.08481734637</v>
      </c>
      <c r="G279" s="14">
        <f t="shared" si="2"/>
        <v>13793.6130859652</v>
      </c>
      <c r="H279" s="14">
        <f t="shared" si="3"/>
        <v>1885715.80160779</v>
      </c>
      <c r="I279" s="14">
        <f t="shared" si="4"/>
        <v>0</v>
      </c>
      <c r="J279" s="14">
        <f t="shared" si="5"/>
        <v>22499.6979033115</v>
      </c>
      <c r="K279" s="18"/>
    </row>
    <row r="280" ht="15.75" customHeight="1" spans="2:11">
      <c r="B280" s="2">
        <f t="shared" si="6"/>
        <v>255</v>
      </c>
      <c r="C280" s="17">
        <v>51867</v>
      </c>
      <c r="D280" s="14">
        <f t="shared" si="7"/>
        <v>1885715.80160779</v>
      </c>
      <c r="E280" s="14">
        <f t="shared" si="0"/>
        <v>22499.6979033115</v>
      </c>
      <c r="F280" s="14">
        <f t="shared" si="1"/>
        <v>8642.86409070236</v>
      </c>
      <c r="G280" s="14">
        <f t="shared" si="2"/>
        <v>13856.8338126092</v>
      </c>
      <c r="H280" s="14">
        <f t="shared" si="3"/>
        <v>1871858.96779518</v>
      </c>
      <c r="I280" s="14">
        <f t="shared" si="4"/>
        <v>0</v>
      </c>
      <c r="J280" s="14">
        <f t="shared" si="5"/>
        <v>22499.6979033115</v>
      </c>
      <c r="K280" s="18"/>
    </row>
    <row r="281" ht="15.75" customHeight="1" spans="2:11">
      <c r="B281" s="2">
        <f t="shared" si="6"/>
        <v>256</v>
      </c>
      <c r="C281" s="17">
        <v>51898</v>
      </c>
      <c r="D281" s="14">
        <f t="shared" si="7"/>
        <v>1871858.96779518</v>
      </c>
      <c r="E281" s="14">
        <f t="shared" si="0"/>
        <v>22499.6979033115</v>
      </c>
      <c r="F281" s="14">
        <f t="shared" si="1"/>
        <v>8579.35360239457</v>
      </c>
      <c r="G281" s="14">
        <f t="shared" si="2"/>
        <v>13920.3443009169</v>
      </c>
      <c r="H281" s="14">
        <f t="shared" si="3"/>
        <v>1857938.62349426</v>
      </c>
      <c r="I281" s="14">
        <f t="shared" si="4"/>
        <v>0</v>
      </c>
      <c r="J281" s="14">
        <f t="shared" si="5"/>
        <v>22499.6979033115</v>
      </c>
      <c r="K281" s="18"/>
    </row>
    <row r="282" ht="15.75" customHeight="1" spans="2:11">
      <c r="B282" s="2">
        <f t="shared" si="6"/>
        <v>257</v>
      </c>
      <c r="C282" s="17">
        <v>51926</v>
      </c>
      <c r="D282" s="14">
        <f t="shared" si="7"/>
        <v>1857938.62349426</v>
      </c>
      <c r="E282" s="14">
        <f t="shared" si="0"/>
        <v>22499.6979033115</v>
      </c>
      <c r="F282" s="14">
        <f t="shared" si="1"/>
        <v>8515.5520243487</v>
      </c>
      <c r="G282" s="14">
        <f t="shared" si="2"/>
        <v>13984.1458789628</v>
      </c>
      <c r="H282" s="14">
        <f t="shared" si="3"/>
        <v>1843954.4776153</v>
      </c>
      <c r="I282" s="14">
        <f t="shared" si="4"/>
        <v>0</v>
      </c>
      <c r="J282" s="14">
        <f t="shared" si="5"/>
        <v>22499.6979033115</v>
      </c>
      <c r="K282" s="18"/>
    </row>
    <row r="283" ht="15.75" customHeight="1" spans="2:11">
      <c r="B283" s="2">
        <f t="shared" si="6"/>
        <v>258</v>
      </c>
      <c r="C283" s="17">
        <v>51957</v>
      </c>
      <c r="D283" s="14">
        <f t="shared" si="7"/>
        <v>1843954.4776153</v>
      </c>
      <c r="E283" s="14">
        <f t="shared" si="0"/>
        <v>22499.6979033115</v>
      </c>
      <c r="F283" s="14">
        <f t="shared" si="1"/>
        <v>8451.45802240345</v>
      </c>
      <c r="G283" s="14">
        <f t="shared" si="2"/>
        <v>14048.2398809081</v>
      </c>
      <c r="H283" s="14">
        <f t="shared" si="3"/>
        <v>1829906.23773439</v>
      </c>
      <c r="I283" s="14">
        <f t="shared" si="4"/>
        <v>0</v>
      </c>
      <c r="J283" s="14">
        <f t="shared" si="5"/>
        <v>22499.6979033115</v>
      </c>
      <c r="K283" s="18"/>
    </row>
    <row r="284" ht="15.75" customHeight="1" spans="2:11">
      <c r="B284" s="2">
        <f t="shared" si="6"/>
        <v>259</v>
      </c>
      <c r="C284" s="17">
        <v>51987</v>
      </c>
      <c r="D284" s="14">
        <f t="shared" si="7"/>
        <v>1829906.23773439</v>
      </c>
      <c r="E284" s="14">
        <f t="shared" si="0"/>
        <v>22499.6979033115</v>
      </c>
      <c r="F284" s="14">
        <f t="shared" si="1"/>
        <v>8387.07025628262</v>
      </c>
      <c r="G284" s="14">
        <f t="shared" si="2"/>
        <v>14112.6276470289</v>
      </c>
      <c r="H284" s="14">
        <f t="shared" si="3"/>
        <v>1815793.61008736</v>
      </c>
      <c r="I284" s="14">
        <f t="shared" si="4"/>
        <v>0</v>
      </c>
      <c r="J284" s="14">
        <f t="shared" si="5"/>
        <v>22499.6979033115</v>
      </c>
      <c r="K284" s="18"/>
    </row>
    <row r="285" ht="15.75" customHeight="1" spans="2:11">
      <c r="B285" s="2">
        <f t="shared" si="6"/>
        <v>260</v>
      </c>
      <c r="C285" s="17">
        <v>52018</v>
      </c>
      <c r="D285" s="14">
        <f t="shared" si="7"/>
        <v>1815793.61008736</v>
      </c>
      <c r="E285" s="14">
        <f t="shared" si="0"/>
        <v>22499.6979033115</v>
      </c>
      <c r="F285" s="14">
        <f t="shared" si="1"/>
        <v>8322.38737956708</v>
      </c>
      <c r="G285" s="14">
        <f t="shared" si="2"/>
        <v>14177.3105237444</v>
      </c>
      <c r="H285" s="14">
        <f t="shared" si="3"/>
        <v>1801616.29956362</v>
      </c>
      <c r="I285" s="14">
        <f t="shared" si="4"/>
        <v>0</v>
      </c>
      <c r="J285" s="14">
        <f t="shared" si="5"/>
        <v>22499.6979033115</v>
      </c>
      <c r="K285" s="18"/>
    </row>
    <row r="286" ht="15.75" customHeight="1" spans="2:11">
      <c r="B286" s="2">
        <f t="shared" si="6"/>
        <v>261</v>
      </c>
      <c r="C286" s="17">
        <v>52048</v>
      </c>
      <c r="D286" s="14">
        <f t="shared" si="7"/>
        <v>1801616.29956362</v>
      </c>
      <c r="E286" s="14">
        <f t="shared" si="0"/>
        <v>22499.6979033115</v>
      </c>
      <c r="F286" s="14">
        <f t="shared" si="1"/>
        <v>8257.40803966658</v>
      </c>
      <c r="G286" s="14">
        <f t="shared" si="2"/>
        <v>14242.2898636449</v>
      </c>
      <c r="H286" s="14">
        <f t="shared" si="3"/>
        <v>1787374.00969997</v>
      </c>
      <c r="I286" s="14">
        <f t="shared" si="4"/>
        <v>0</v>
      </c>
      <c r="J286" s="14">
        <f t="shared" si="5"/>
        <v>22499.6979033115</v>
      </c>
      <c r="K286" s="18"/>
    </row>
    <row r="287" ht="15.75" customHeight="1" spans="2:11">
      <c r="B287" s="2">
        <f t="shared" si="6"/>
        <v>262</v>
      </c>
      <c r="C287" s="17">
        <v>52079</v>
      </c>
      <c r="D287" s="14">
        <f t="shared" si="7"/>
        <v>1787374.00969997</v>
      </c>
      <c r="E287" s="14">
        <f t="shared" si="0"/>
        <v>22499.6979033115</v>
      </c>
      <c r="F287" s="14">
        <f t="shared" si="1"/>
        <v>8192.13087779154</v>
      </c>
      <c r="G287" s="14">
        <f t="shared" si="2"/>
        <v>14307.56702552</v>
      </c>
      <c r="H287" s="14">
        <f t="shared" si="3"/>
        <v>1773066.44267445</v>
      </c>
      <c r="I287" s="14">
        <f t="shared" si="4"/>
        <v>0</v>
      </c>
      <c r="J287" s="14">
        <f t="shared" si="5"/>
        <v>22499.6979033115</v>
      </c>
      <c r="K287" s="18"/>
    </row>
    <row r="288" ht="15.75" customHeight="1" spans="2:11">
      <c r="B288" s="2">
        <f t="shared" si="6"/>
        <v>263</v>
      </c>
      <c r="C288" s="17">
        <v>52110</v>
      </c>
      <c r="D288" s="14">
        <f t="shared" si="7"/>
        <v>1773066.44267445</v>
      </c>
      <c r="E288" s="14">
        <f t="shared" si="0"/>
        <v>22499.6979033115</v>
      </c>
      <c r="F288" s="14">
        <f t="shared" si="1"/>
        <v>8126.55452892457</v>
      </c>
      <c r="G288" s="14">
        <f t="shared" si="2"/>
        <v>14373.1433743869</v>
      </c>
      <c r="H288" s="14">
        <f t="shared" si="3"/>
        <v>1758693.29930007</v>
      </c>
      <c r="I288" s="14">
        <f t="shared" si="4"/>
        <v>0</v>
      </c>
      <c r="J288" s="14">
        <f t="shared" si="5"/>
        <v>22499.6979033115</v>
      </c>
      <c r="K288" s="18"/>
    </row>
    <row r="289" ht="15.75" customHeight="1" spans="2:11">
      <c r="B289" s="2">
        <f t="shared" si="6"/>
        <v>264</v>
      </c>
      <c r="C289" s="17">
        <v>52140</v>
      </c>
      <c r="D289" s="14">
        <f t="shared" si="7"/>
        <v>1758693.29930007</v>
      </c>
      <c r="E289" s="14">
        <f t="shared" si="0"/>
        <v>22499.6979033115</v>
      </c>
      <c r="F289" s="14">
        <f t="shared" si="1"/>
        <v>8060.67762179197</v>
      </c>
      <c r="G289" s="14">
        <f t="shared" si="2"/>
        <v>14439.0202815195</v>
      </c>
      <c r="H289" s="14">
        <f t="shared" si="3"/>
        <v>1744254.27901855</v>
      </c>
      <c r="I289" s="14">
        <f t="shared" si="4"/>
        <v>0</v>
      </c>
      <c r="J289" s="14">
        <f t="shared" si="5"/>
        <v>22499.6979033115</v>
      </c>
      <c r="K289" s="18"/>
    </row>
    <row r="290" ht="15.75" customHeight="1" spans="2:11">
      <c r="B290" s="2">
        <f t="shared" si="6"/>
        <v>265</v>
      </c>
      <c r="C290" s="17">
        <v>52171</v>
      </c>
      <c r="D290" s="14">
        <f t="shared" si="7"/>
        <v>1744254.27901855</v>
      </c>
      <c r="E290" s="14">
        <f t="shared" si="0"/>
        <v>22499.6979033115</v>
      </c>
      <c r="F290" s="14">
        <f t="shared" si="1"/>
        <v>7994.498778835</v>
      </c>
      <c r="G290" s="14">
        <f t="shared" si="2"/>
        <v>14505.1991244765</v>
      </c>
      <c r="H290" s="14">
        <f t="shared" si="3"/>
        <v>1729749.07989407</v>
      </c>
      <c r="I290" s="14">
        <f t="shared" si="4"/>
        <v>0</v>
      </c>
      <c r="J290" s="14">
        <f t="shared" si="5"/>
        <v>22499.6979033115</v>
      </c>
      <c r="K290" s="14">
        <f>SUM(I290:I301)</f>
        <v>0</v>
      </c>
    </row>
    <row r="291" ht="15.75" customHeight="1" spans="2:11">
      <c r="B291" s="2">
        <f t="shared" si="6"/>
        <v>266</v>
      </c>
      <c r="C291" s="17">
        <v>52201</v>
      </c>
      <c r="D291" s="14">
        <f t="shared" si="7"/>
        <v>1729749.07989407</v>
      </c>
      <c r="E291" s="14">
        <f t="shared" si="0"/>
        <v>22499.6979033115</v>
      </c>
      <c r="F291" s="14">
        <f t="shared" si="1"/>
        <v>7928.01661618115</v>
      </c>
      <c r="G291" s="14">
        <f t="shared" si="2"/>
        <v>14571.6812871304</v>
      </c>
      <c r="H291" s="14">
        <f t="shared" si="3"/>
        <v>1715177.39860694</v>
      </c>
      <c r="I291" s="14">
        <f t="shared" si="4"/>
        <v>0</v>
      </c>
      <c r="J291" s="14">
        <f t="shared" si="5"/>
        <v>22499.6979033115</v>
      </c>
      <c r="K291" s="18"/>
    </row>
    <row r="292" ht="15.75" customHeight="1" spans="2:11">
      <c r="B292" s="2">
        <f t="shared" si="6"/>
        <v>267</v>
      </c>
      <c r="C292" s="17">
        <v>52232</v>
      </c>
      <c r="D292" s="14">
        <f t="shared" si="7"/>
        <v>1715177.39860694</v>
      </c>
      <c r="E292" s="14">
        <f t="shared" si="0"/>
        <v>22499.6979033115</v>
      </c>
      <c r="F292" s="14">
        <f t="shared" si="1"/>
        <v>7861.22974361514</v>
      </c>
      <c r="G292" s="14">
        <f t="shared" si="2"/>
        <v>14638.4681596964</v>
      </c>
      <c r="H292" s="14">
        <f t="shared" si="3"/>
        <v>1700538.93044724</v>
      </c>
      <c r="I292" s="14">
        <f t="shared" si="4"/>
        <v>0</v>
      </c>
      <c r="J292" s="14">
        <f t="shared" si="5"/>
        <v>22499.6979033115</v>
      </c>
      <c r="K292" s="18"/>
    </row>
    <row r="293" ht="15.75" customHeight="1" spans="2:11">
      <c r="B293" s="2">
        <f t="shared" si="6"/>
        <v>268</v>
      </c>
      <c r="C293" s="17">
        <v>52263</v>
      </c>
      <c r="D293" s="14">
        <f t="shared" si="7"/>
        <v>1700538.93044724</v>
      </c>
      <c r="E293" s="14">
        <f t="shared" si="0"/>
        <v>22499.6979033115</v>
      </c>
      <c r="F293" s="14">
        <f t="shared" si="1"/>
        <v>7794.13676454986</v>
      </c>
      <c r="G293" s="14">
        <f t="shared" si="2"/>
        <v>14705.5611387617</v>
      </c>
      <c r="H293" s="14">
        <f t="shared" si="3"/>
        <v>1685833.36930848</v>
      </c>
      <c r="I293" s="14">
        <f t="shared" si="4"/>
        <v>0</v>
      </c>
      <c r="J293" s="14">
        <f t="shared" si="5"/>
        <v>22499.6979033115</v>
      </c>
      <c r="K293" s="18"/>
    </row>
    <row r="294" ht="15.75" customHeight="1" spans="2:11">
      <c r="B294" s="2">
        <f t="shared" si="6"/>
        <v>269</v>
      </c>
      <c r="C294" s="17">
        <v>52291</v>
      </c>
      <c r="D294" s="14">
        <f t="shared" si="7"/>
        <v>1685833.36930848</v>
      </c>
      <c r="E294" s="14">
        <f t="shared" si="0"/>
        <v>22499.6979033115</v>
      </c>
      <c r="F294" s="14">
        <f t="shared" si="1"/>
        <v>7726.73627599721</v>
      </c>
      <c r="G294" s="14">
        <f t="shared" si="2"/>
        <v>14772.9616273143</v>
      </c>
      <c r="H294" s="14">
        <f t="shared" si="3"/>
        <v>1671060.40768117</v>
      </c>
      <c r="I294" s="14">
        <f t="shared" si="4"/>
        <v>0</v>
      </c>
      <c r="J294" s="14">
        <f t="shared" si="5"/>
        <v>22499.6979033115</v>
      </c>
      <c r="K294" s="18"/>
    </row>
    <row r="295" ht="15.75" customHeight="1" spans="2:11">
      <c r="B295" s="2">
        <f t="shared" si="6"/>
        <v>270</v>
      </c>
      <c r="C295" s="17">
        <v>52322</v>
      </c>
      <c r="D295" s="14">
        <f t="shared" si="7"/>
        <v>1671060.40768117</v>
      </c>
      <c r="E295" s="14">
        <f t="shared" si="0"/>
        <v>22499.6979033115</v>
      </c>
      <c r="F295" s="14">
        <f t="shared" si="1"/>
        <v>7659.02686853868</v>
      </c>
      <c r="G295" s="14">
        <f t="shared" si="2"/>
        <v>14840.6710347728</v>
      </c>
      <c r="H295" s="14">
        <f t="shared" si="3"/>
        <v>1656219.7366464</v>
      </c>
      <c r="I295" s="14">
        <f t="shared" si="4"/>
        <v>0</v>
      </c>
      <c r="J295" s="14">
        <f t="shared" si="5"/>
        <v>22499.6979033115</v>
      </c>
      <c r="K295" s="18"/>
    </row>
    <row r="296" ht="15.75" customHeight="1" spans="2:11">
      <c r="B296" s="2">
        <f t="shared" si="6"/>
        <v>271</v>
      </c>
      <c r="C296" s="17">
        <v>52352</v>
      </c>
      <c r="D296" s="14">
        <f t="shared" si="7"/>
        <v>1656219.7366464</v>
      </c>
      <c r="E296" s="14">
        <f t="shared" si="0"/>
        <v>22499.6979033115</v>
      </c>
      <c r="F296" s="14">
        <f t="shared" si="1"/>
        <v>7591.00712629597</v>
      </c>
      <c r="G296" s="14">
        <f t="shared" si="2"/>
        <v>14908.6907770155</v>
      </c>
      <c r="H296" s="14">
        <f t="shared" si="3"/>
        <v>1641311.04586938</v>
      </c>
      <c r="I296" s="14">
        <f t="shared" si="4"/>
        <v>0</v>
      </c>
      <c r="J296" s="14">
        <f t="shared" si="5"/>
        <v>22499.6979033115</v>
      </c>
      <c r="K296" s="18"/>
    </row>
    <row r="297" ht="15.75" customHeight="1" spans="2:11">
      <c r="B297" s="2">
        <f t="shared" si="6"/>
        <v>272</v>
      </c>
      <c r="C297" s="17">
        <v>52383</v>
      </c>
      <c r="D297" s="14">
        <f t="shared" si="7"/>
        <v>1641311.04586938</v>
      </c>
      <c r="E297" s="14">
        <f t="shared" si="0"/>
        <v>22499.6979033115</v>
      </c>
      <c r="F297" s="14">
        <f t="shared" si="1"/>
        <v>7522.67562690132</v>
      </c>
      <c r="G297" s="14">
        <f t="shared" si="2"/>
        <v>14977.0222764102</v>
      </c>
      <c r="H297" s="14">
        <f t="shared" si="3"/>
        <v>1626334.02359297</v>
      </c>
      <c r="I297" s="14">
        <f t="shared" si="4"/>
        <v>0</v>
      </c>
      <c r="J297" s="14">
        <f t="shared" si="5"/>
        <v>22499.6979033115</v>
      </c>
      <c r="K297" s="18"/>
    </row>
    <row r="298" ht="15.75" customHeight="1" spans="2:11">
      <c r="B298" s="2">
        <f t="shared" si="6"/>
        <v>273</v>
      </c>
      <c r="C298" s="17">
        <v>52413</v>
      </c>
      <c r="D298" s="14">
        <f t="shared" si="7"/>
        <v>1626334.02359297</v>
      </c>
      <c r="E298" s="14">
        <f t="shared" si="0"/>
        <v>22499.6979033115</v>
      </c>
      <c r="F298" s="14">
        <f t="shared" si="1"/>
        <v>7454.03094146777</v>
      </c>
      <c r="G298" s="14">
        <f t="shared" si="2"/>
        <v>15045.6669618437</v>
      </c>
      <c r="H298" s="14">
        <f t="shared" si="3"/>
        <v>1611288.35663113</v>
      </c>
      <c r="I298" s="14">
        <f t="shared" si="4"/>
        <v>0</v>
      </c>
      <c r="J298" s="14">
        <f t="shared" si="5"/>
        <v>22499.6979033115</v>
      </c>
      <c r="K298" s="18"/>
    </row>
    <row r="299" ht="15.75" customHeight="1" spans="2:11">
      <c r="B299" s="2">
        <f t="shared" si="6"/>
        <v>274</v>
      </c>
      <c r="C299" s="17">
        <v>52444</v>
      </c>
      <c r="D299" s="14">
        <f t="shared" si="7"/>
        <v>1611288.35663113</v>
      </c>
      <c r="E299" s="14">
        <f t="shared" si="0"/>
        <v>22499.6979033115</v>
      </c>
      <c r="F299" s="14">
        <f t="shared" si="1"/>
        <v>7385.07163455932</v>
      </c>
      <c r="G299" s="14">
        <f t="shared" si="2"/>
        <v>15114.6262687522</v>
      </c>
      <c r="H299" s="14">
        <f t="shared" si="3"/>
        <v>1596173.73036237</v>
      </c>
      <c r="I299" s="14">
        <f t="shared" si="4"/>
        <v>0</v>
      </c>
      <c r="J299" s="14">
        <f t="shared" si="5"/>
        <v>22499.6979033115</v>
      </c>
      <c r="K299" s="18"/>
    </row>
    <row r="300" ht="15.75" customHeight="1" spans="2:11">
      <c r="B300" s="2">
        <f t="shared" si="6"/>
        <v>275</v>
      </c>
      <c r="C300" s="17">
        <v>52475</v>
      </c>
      <c r="D300" s="14">
        <f t="shared" si="7"/>
        <v>1596173.73036237</v>
      </c>
      <c r="E300" s="14">
        <f t="shared" si="0"/>
        <v>22499.6979033115</v>
      </c>
      <c r="F300" s="14">
        <f t="shared" si="1"/>
        <v>7315.79626416087</v>
      </c>
      <c r="G300" s="14">
        <f t="shared" si="2"/>
        <v>15183.9016391506</v>
      </c>
      <c r="H300" s="14">
        <f t="shared" si="3"/>
        <v>1580989.82872322</v>
      </c>
      <c r="I300" s="14">
        <f t="shared" si="4"/>
        <v>0</v>
      </c>
      <c r="J300" s="14">
        <f t="shared" si="5"/>
        <v>22499.6979033115</v>
      </c>
      <c r="K300" s="18"/>
    </row>
    <row r="301" ht="15.75" customHeight="1" spans="2:11">
      <c r="B301" s="2">
        <f t="shared" si="6"/>
        <v>276</v>
      </c>
      <c r="C301" s="17">
        <v>52505</v>
      </c>
      <c r="D301" s="14">
        <f t="shared" si="7"/>
        <v>1580989.82872322</v>
      </c>
      <c r="E301" s="14">
        <f t="shared" si="0"/>
        <v>22499.6979033115</v>
      </c>
      <c r="F301" s="14">
        <f t="shared" si="1"/>
        <v>7246.2033816481</v>
      </c>
      <c r="G301" s="14">
        <f t="shared" si="2"/>
        <v>15253.4945216634</v>
      </c>
      <c r="H301" s="14">
        <f t="shared" si="3"/>
        <v>1565736.33420156</v>
      </c>
      <c r="I301" s="14">
        <f t="shared" si="4"/>
        <v>0</v>
      </c>
      <c r="J301" s="14">
        <f t="shared" si="5"/>
        <v>22499.6979033115</v>
      </c>
      <c r="K301" s="18"/>
    </row>
    <row r="302" ht="15.75" customHeight="1" spans="2:11">
      <c r="B302" s="2">
        <f t="shared" si="6"/>
        <v>277</v>
      </c>
      <c r="C302" s="17">
        <v>52536</v>
      </c>
      <c r="D302" s="14">
        <f t="shared" si="7"/>
        <v>1565736.33420156</v>
      </c>
      <c r="E302" s="14">
        <f t="shared" si="0"/>
        <v>22499.6979033115</v>
      </c>
      <c r="F302" s="14">
        <f t="shared" si="1"/>
        <v>7176.29153175714</v>
      </c>
      <c r="G302" s="14">
        <f t="shared" si="2"/>
        <v>15323.4063715544</v>
      </c>
      <c r="H302" s="14">
        <f t="shared" si="3"/>
        <v>1550412.92783001</v>
      </c>
      <c r="I302" s="14">
        <f t="shared" si="4"/>
        <v>0</v>
      </c>
      <c r="J302" s="14">
        <f t="shared" si="5"/>
        <v>22499.6979033115</v>
      </c>
      <c r="K302" s="14">
        <f>SUM(I302:I313)</f>
        <v>0</v>
      </c>
    </row>
    <row r="303" ht="15.75" customHeight="1" spans="2:11">
      <c r="B303" s="2">
        <f t="shared" si="6"/>
        <v>278</v>
      </c>
      <c r="C303" s="17">
        <v>52566</v>
      </c>
      <c r="D303" s="14">
        <f t="shared" si="7"/>
        <v>1550412.92783001</v>
      </c>
      <c r="E303" s="14">
        <f t="shared" si="0"/>
        <v>22499.6979033115</v>
      </c>
      <c r="F303" s="14">
        <f t="shared" si="1"/>
        <v>7106.05925255418</v>
      </c>
      <c r="G303" s="14">
        <f t="shared" si="2"/>
        <v>15393.6386507573</v>
      </c>
      <c r="H303" s="14">
        <f t="shared" si="3"/>
        <v>1535019.28917925</v>
      </c>
      <c r="I303" s="14">
        <f t="shared" si="4"/>
        <v>0</v>
      </c>
      <c r="J303" s="14">
        <f t="shared" si="5"/>
        <v>22499.6979033115</v>
      </c>
      <c r="K303" s="18"/>
    </row>
    <row r="304" ht="15.75" customHeight="1" spans="2:11">
      <c r="B304" s="2">
        <f t="shared" si="6"/>
        <v>279</v>
      </c>
      <c r="C304" s="17">
        <v>52597</v>
      </c>
      <c r="D304" s="14">
        <f t="shared" si="7"/>
        <v>1535019.28917925</v>
      </c>
      <c r="E304" s="14">
        <f t="shared" si="0"/>
        <v>22499.6979033115</v>
      </c>
      <c r="F304" s="14">
        <f t="shared" si="1"/>
        <v>7035.50507540488</v>
      </c>
      <c r="G304" s="14">
        <f t="shared" si="2"/>
        <v>15464.1928279066</v>
      </c>
      <c r="H304" s="14">
        <f t="shared" si="3"/>
        <v>1519555.09635134</v>
      </c>
      <c r="I304" s="14">
        <f t="shared" si="4"/>
        <v>0</v>
      </c>
      <c r="J304" s="14">
        <f t="shared" si="5"/>
        <v>22499.6979033115</v>
      </c>
      <c r="K304" s="18"/>
    </row>
    <row r="305" ht="15.75" customHeight="1" spans="2:11">
      <c r="B305" s="2">
        <f t="shared" si="6"/>
        <v>280</v>
      </c>
      <c r="C305" s="17">
        <v>52628</v>
      </c>
      <c r="D305" s="14">
        <f t="shared" si="7"/>
        <v>1519555.09635134</v>
      </c>
      <c r="E305" s="14">
        <f t="shared" si="0"/>
        <v>22499.6979033115</v>
      </c>
      <c r="F305" s="14">
        <f t="shared" si="1"/>
        <v>6964.62752494364</v>
      </c>
      <c r="G305" s="14">
        <f t="shared" si="2"/>
        <v>15535.0703783679</v>
      </c>
      <c r="H305" s="14">
        <f t="shared" si="3"/>
        <v>1504020.02597297</v>
      </c>
      <c r="I305" s="14">
        <f t="shared" si="4"/>
        <v>0</v>
      </c>
      <c r="J305" s="14">
        <f t="shared" si="5"/>
        <v>22499.6979033115</v>
      </c>
      <c r="K305" s="18"/>
    </row>
    <row r="306" ht="15.75" customHeight="1" spans="2:11">
      <c r="B306" s="2">
        <f t="shared" si="6"/>
        <v>281</v>
      </c>
      <c r="C306" s="17">
        <v>52657</v>
      </c>
      <c r="D306" s="14">
        <f t="shared" si="7"/>
        <v>1504020.02597297</v>
      </c>
      <c r="E306" s="14">
        <f t="shared" si="0"/>
        <v>22499.6979033115</v>
      </c>
      <c r="F306" s="14">
        <f t="shared" si="1"/>
        <v>6893.42511904279</v>
      </c>
      <c r="G306" s="14">
        <f t="shared" si="2"/>
        <v>15606.2727842687</v>
      </c>
      <c r="H306" s="14">
        <f t="shared" si="3"/>
        <v>1488413.7531887</v>
      </c>
      <c r="I306" s="14">
        <f t="shared" si="4"/>
        <v>0</v>
      </c>
      <c r="J306" s="14">
        <f t="shared" si="5"/>
        <v>22499.6979033115</v>
      </c>
      <c r="K306" s="18"/>
    </row>
    <row r="307" ht="15.75" customHeight="1" spans="2:11">
      <c r="B307" s="2">
        <f t="shared" si="6"/>
        <v>282</v>
      </c>
      <c r="C307" s="17">
        <v>52688</v>
      </c>
      <c r="D307" s="14">
        <f t="shared" si="7"/>
        <v>1488413.7531887</v>
      </c>
      <c r="E307" s="14">
        <f t="shared" si="0"/>
        <v>22499.6979033115</v>
      </c>
      <c r="F307" s="14">
        <f t="shared" si="1"/>
        <v>6821.89636878156</v>
      </c>
      <c r="G307" s="14">
        <f t="shared" si="2"/>
        <v>15677.80153453</v>
      </c>
      <c r="H307" s="14">
        <f t="shared" si="3"/>
        <v>1472735.95165417</v>
      </c>
      <c r="I307" s="14">
        <f t="shared" si="4"/>
        <v>0</v>
      </c>
      <c r="J307" s="14">
        <f t="shared" si="5"/>
        <v>22499.6979033115</v>
      </c>
      <c r="K307" s="18"/>
    </row>
    <row r="308" ht="15.75" customHeight="1" spans="2:11">
      <c r="B308" s="2">
        <f t="shared" si="6"/>
        <v>283</v>
      </c>
      <c r="C308" s="17">
        <v>52718</v>
      </c>
      <c r="D308" s="14">
        <f t="shared" si="7"/>
        <v>1472735.95165417</v>
      </c>
      <c r="E308" s="14">
        <f t="shared" si="0"/>
        <v>22499.6979033115</v>
      </c>
      <c r="F308" s="14">
        <f t="shared" si="1"/>
        <v>6750.03977841496</v>
      </c>
      <c r="G308" s="14">
        <f t="shared" si="2"/>
        <v>15749.6581248966</v>
      </c>
      <c r="H308" s="14">
        <f t="shared" si="3"/>
        <v>1456986.29352928</v>
      </c>
      <c r="I308" s="14">
        <f t="shared" si="4"/>
        <v>0</v>
      </c>
      <c r="J308" s="14">
        <f t="shared" si="5"/>
        <v>22499.6979033115</v>
      </c>
      <c r="K308" s="18"/>
    </row>
    <row r="309" ht="15.75" customHeight="1" spans="2:11">
      <c r="B309" s="2">
        <f t="shared" si="6"/>
        <v>284</v>
      </c>
      <c r="C309" s="17">
        <v>52749</v>
      </c>
      <c r="D309" s="14">
        <f t="shared" si="7"/>
        <v>1456986.29352928</v>
      </c>
      <c r="E309" s="14">
        <f t="shared" si="0"/>
        <v>22499.6979033115</v>
      </c>
      <c r="F309" s="14">
        <f t="shared" si="1"/>
        <v>6677.85384534252</v>
      </c>
      <c r="G309" s="14">
        <f t="shared" si="2"/>
        <v>15821.844057969</v>
      </c>
      <c r="H309" s="14">
        <f t="shared" si="3"/>
        <v>1441164.44947131</v>
      </c>
      <c r="I309" s="14">
        <f t="shared" si="4"/>
        <v>0</v>
      </c>
      <c r="J309" s="14">
        <f t="shared" si="5"/>
        <v>22499.6979033115</v>
      </c>
      <c r="K309" s="18"/>
    </row>
    <row r="310" ht="15.75" customHeight="1" spans="2:11">
      <c r="B310" s="2">
        <f t="shared" si="6"/>
        <v>285</v>
      </c>
      <c r="C310" s="17">
        <v>52779</v>
      </c>
      <c r="D310" s="14">
        <f t="shared" si="7"/>
        <v>1441164.44947131</v>
      </c>
      <c r="E310" s="14">
        <f t="shared" si="0"/>
        <v>22499.6979033115</v>
      </c>
      <c r="F310" s="14">
        <f t="shared" si="1"/>
        <v>6605.33706007683</v>
      </c>
      <c r="G310" s="14">
        <f t="shared" si="2"/>
        <v>15894.3608432347</v>
      </c>
      <c r="H310" s="14">
        <f t="shared" si="3"/>
        <v>1425270.08862807</v>
      </c>
      <c r="I310" s="14">
        <f t="shared" si="4"/>
        <v>0</v>
      </c>
      <c r="J310" s="14">
        <f t="shared" si="5"/>
        <v>22499.6979033115</v>
      </c>
      <c r="K310" s="18"/>
    </row>
    <row r="311" ht="15.75" customHeight="1" spans="2:11">
      <c r="B311" s="2">
        <f t="shared" si="6"/>
        <v>286</v>
      </c>
      <c r="C311" s="17">
        <v>52810</v>
      </c>
      <c r="D311" s="14">
        <f t="shared" si="7"/>
        <v>1425270.08862807</v>
      </c>
      <c r="E311" s="14">
        <f t="shared" si="0"/>
        <v>22499.6979033115</v>
      </c>
      <c r="F311" s="14">
        <f t="shared" si="1"/>
        <v>6532.487906212</v>
      </c>
      <c r="G311" s="14">
        <f t="shared" si="2"/>
        <v>15967.2099970995</v>
      </c>
      <c r="H311" s="14">
        <f t="shared" si="3"/>
        <v>1409302.87863097</v>
      </c>
      <c r="I311" s="14">
        <f t="shared" si="4"/>
        <v>0</v>
      </c>
      <c r="J311" s="14">
        <f t="shared" si="5"/>
        <v>22499.6979033115</v>
      </c>
      <c r="K311" s="18"/>
    </row>
    <row r="312" ht="15.75" customHeight="1" spans="2:11">
      <c r="B312" s="2">
        <f t="shared" si="6"/>
        <v>287</v>
      </c>
      <c r="C312" s="17">
        <v>52841</v>
      </c>
      <c r="D312" s="14">
        <f t="shared" si="7"/>
        <v>1409302.87863097</v>
      </c>
      <c r="E312" s="14">
        <f t="shared" si="0"/>
        <v>22499.6979033115</v>
      </c>
      <c r="F312" s="14">
        <f t="shared" si="1"/>
        <v>6459.30486039196</v>
      </c>
      <c r="G312" s="14">
        <f t="shared" si="2"/>
        <v>16040.3930429196</v>
      </c>
      <c r="H312" s="14">
        <f t="shared" si="3"/>
        <v>1393262.48558806</v>
      </c>
      <c r="I312" s="14">
        <f t="shared" si="4"/>
        <v>0</v>
      </c>
      <c r="J312" s="14">
        <f t="shared" si="5"/>
        <v>22499.6979033115</v>
      </c>
      <c r="K312" s="18"/>
    </row>
    <row r="313" ht="15.75" customHeight="1" spans="2:11">
      <c r="B313" s="2">
        <f t="shared" si="6"/>
        <v>288</v>
      </c>
      <c r="C313" s="17">
        <v>52871</v>
      </c>
      <c r="D313" s="14">
        <f t="shared" si="7"/>
        <v>1393262.48558806</v>
      </c>
      <c r="E313" s="14">
        <f t="shared" si="0"/>
        <v>22499.6979033115</v>
      </c>
      <c r="F313" s="14">
        <f t="shared" si="1"/>
        <v>6385.78639227858</v>
      </c>
      <c r="G313" s="14">
        <f t="shared" si="2"/>
        <v>16113.9115110329</v>
      </c>
      <c r="H313" s="14">
        <f t="shared" si="3"/>
        <v>1377148.57407702</v>
      </c>
      <c r="I313" s="14">
        <f t="shared" si="4"/>
        <v>0</v>
      </c>
      <c r="J313" s="14">
        <f t="shared" si="5"/>
        <v>22499.6979033115</v>
      </c>
      <c r="K313" s="18"/>
    </row>
    <row r="314" ht="15.75" customHeight="1" spans="2:11">
      <c r="B314" s="2">
        <f t="shared" si="6"/>
        <v>289</v>
      </c>
      <c r="C314" s="17">
        <v>52902</v>
      </c>
      <c r="D314" s="14">
        <f t="shared" si="7"/>
        <v>1377148.57407702</v>
      </c>
      <c r="E314" s="14">
        <f t="shared" si="0"/>
        <v>22499.6979033115</v>
      </c>
      <c r="F314" s="14">
        <f t="shared" si="1"/>
        <v>6311.93096451968</v>
      </c>
      <c r="G314" s="14">
        <f t="shared" si="2"/>
        <v>16187.7669387918</v>
      </c>
      <c r="H314" s="14">
        <f t="shared" si="3"/>
        <v>1360960.80713823</v>
      </c>
      <c r="I314" s="14">
        <f t="shared" si="4"/>
        <v>0</v>
      </c>
      <c r="J314" s="14">
        <f t="shared" si="5"/>
        <v>22499.6979033115</v>
      </c>
      <c r="K314" s="14">
        <f>SUM(I314:I325)</f>
        <v>0</v>
      </c>
    </row>
    <row r="315" ht="15.75" customHeight="1" spans="2:11">
      <c r="B315" s="2">
        <f t="shared" si="6"/>
        <v>290</v>
      </c>
      <c r="C315" s="17">
        <v>52932</v>
      </c>
      <c r="D315" s="14">
        <f t="shared" si="7"/>
        <v>1360960.80713823</v>
      </c>
      <c r="E315" s="14">
        <f t="shared" si="0"/>
        <v>22499.6979033115</v>
      </c>
      <c r="F315" s="14">
        <f t="shared" si="1"/>
        <v>6237.73703271689</v>
      </c>
      <c r="G315" s="14">
        <f t="shared" si="2"/>
        <v>16261.9608705946</v>
      </c>
      <c r="H315" s="14">
        <f t="shared" si="3"/>
        <v>1344698.84626764</v>
      </c>
      <c r="I315" s="14">
        <f t="shared" si="4"/>
        <v>0</v>
      </c>
      <c r="J315" s="14">
        <f t="shared" si="5"/>
        <v>22499.6979033115</v>
      </c>
      <c r="K315" s="18"/>
    </row>
    <row r="316" ht="15.75" customHeight="1" spans="2:11">
      <c r="B316" s="2">
        <f t="shared" si="6"/>
        <v>291</v>
      </c>
      <c r="C316" s="17">
        <v>52963</v>
      </c>
      <c r="D316" s="14">
        <f t="shared" si="7"/>
        <v>1344698.84626764</v>
      </c>
      <c r="E316" s="14">
        <f t="shared" si="0"/>
        <v>22499.6979033115</v>
      </c>
      <c r="F316" s="14">
        <f t="shared" si="1"/>
        <v>6163.20304539333</v>
      </c>
      <c r="G316" s="14">
        <f t="shared" si="2"/>
        <v>16336.4948579182</v>
      </c>
      <c r="H316" s="14">
        <f t="shared" si="3"/>
        <v>1328362.35140972</v>
      </c>
      <c r="I316" s="14">
        <f t="shared" si="4"/>
        <v>0</v>
      </c>
      <c r="J316" s="14">
        <f t="shared" si="5"/>
        <v>22499.6979033115</v>
      </c>
      <c r="K316" s="18"/>
    </row>
    <row r="317" ht="15.75" customHeight="1" spans="2:11">
      <c r="B317" s="2">
        <f t="shared" si="6"/>
        <v>292</v>
      </c>
      <c r="C317" s="17">
        <v>52994</v>
      </c>
      <c r="D317" s="14">
        <f t="shared" si="7"/>
        <v>1328362.35140972</v>
      </c>
      <c r="E317" s="14">
        <f t="shared" si="0"/>
        <v>22499.6979033115</v>
      </c>
      <c r="F317" s="14">
        <f t="shared" si="1"/>
        <v>6088.3274439612</v>
      </c>
      <c r="G317" s="14">
        <f t="shared" si="2"/>
        <v>16411.3704593503</v>
      </c>
      <c r="H317" s="14">
        <f t="shared" si="3"/>
        <v>1311950.98095037</v>
      </c>
      <c r="I317" s="14">
        <f t="shared" si="4"/>
        <v>0</v>
      </c>
      <c r="J317" s="14">
        <f t="shared" si="5"/>
        <v>22499.6979033115</v>
      </c>
      <c r="K317" s="18"/>
    </row>
    <row r="318" ht="15.75" customHeight="1" spans="2:11">
      <c r="B318" s="2">
        <f t="shared" si="6"/>
        <v>293</v>
      </c>
      <c r="C318" s="17">
        <v>53022</v>
      </c>
      <c r="D318" s="14">
        <f t="shared" si="7"/>
        <v>1311950.98095037</v>
      </c>
      <c r="E318" s="14">
        <f t="shared" si="0"/>
        <v>22499.6979033115</v>
      </c>
      <c r="F318" s="14">
        <f t="shared" si="1"/>
        <v>6013.10866268918</v>
      </c>
      <c r="G318" s="14">
        <f t="shared" si="2"/>
        <v>16486.5892406223</v>
      </c>
      <c r="H318" s="14">
        <f t="shared" si="3"/>
        <v>1295464.39170975</v>
      </c>
      <c r="I318" s="14">
        <f t="shared" si="4"/>
        <v>0</v>
      </c>
      <c r="J318" s="14">
        <f t="shared" si="5"/>
        <v>22499.6979033115</v>
      </c>
      <c r="K318" s="18"/>
    </row>
    <row r="319" ht="15.75" customHeight="1" spans="2:11">
      <c r="B319" s="2">
        <f t="shared" si="6"/>
        <v>294</v>
      </c>
      <c r="C319" s="17">
        <v>53053</v>
      </c>
      <c r="D319" s="14">
        <f t="shared" si="7"/>
        <v>1295464.39170975</v>
      </c>
      <c r="E319" s="14">
        <f t="shared" si="0"/>
        <v>22499.6979033115</v>
      </c>
      <c r="F319" s="14">
        <f t="shared" si="1"/>
        <v>5937.54512866966</v>
      </c>
      <c r="G319" s="14">
        <f t="shared" si="2"/>
        <v>16562.1527746419</v>
      </c>
      <c r="H319" s="14">
        <f t="shared" si="3"/>
        <v>1278902.2389351</v>
      </c>
      <c r="I319" s="14">
        <f t="shared" si="4"/>
        <v>0</v>
      </c>
      <c r="J319" s="14">
        <f t="shared" si="5"/>
        <v>22499.6979033115</v>
      </c>
      <c r="K319" s="18"/>
    </row>
    <row r="320" ht="15.75" customHeight="1" spans="2:11">
      <c r="B320" s="2">
        <f t="shared" si="6"/>
        <v>295</v>
      </c>
      <c r="C320" s="17">
        <v>53083</v>
      </c>
      <c r="D320" s="14">
        <f t="shared" si="7"/>
        <v>1278902.2389351</v>
      </c>
      <c r="E320" s="14">
        <f t="shared" si="0"/>
        <v>22499.6979033115</v>
      </c>
      <c r="F320" s="14">
        <f t="shared" si="1"/>
        <v>5861.63526178589</v>
      </c>
      <c r="G320" s="14">
        <f t="shared" si="2"/>
        <v>16638.0626415256</v>
      </c>
      <c r="H320" s="14">
        <f t="shared" si="3"/>
        <v>1262264.17629358</v>
      </c>
      <c r="I320" s="14">
        <f t="shared" si="4"/>
        <v>0</v>
      </c>
      <c r="J320" s="14">
        <f t="shared" si="5"/>
        <v>22499.6979033115</v>
      </c>
      <c r="K320" s="18"/>
    </row>
    <row r="321" ht="15.75" customHeight="1" spans="2:11">
      <c r="B321" s="2">
        <f t="shared" si="6"/>
        <v>296</v>
      </c>
      <c r="C321" s="17">
        <v>53114</v>
      </c>
      <c r="D321" s="14">
        <f t="shared" si="7"/>
        <v>1262264.17629358</v>
      </c>
      <c r="E321" s="14">
        <f t="shared" si="0"/>
        <v>22499.6979033115</v>
      </c>
      <c r="F321" s="14">
        <f t="shared" si="1"/>
        <v>5785.37747467889</v>
      </c>
      <c r="G321" s="14">
        <f t="shared" si="2"/>
        <v>16714.3204286326</v>
      </c>
      <c r="H321" s="14">
        <f t="shared" si="3"/>
        <v>1245549.85586495</v>
      </c>
      <c r="I321" s="14">
        <f t="shared" si="4"/>
        <v>0</v>
      </c>
      <c r="J321" s="14">
        <f t="shared" si="5"/>
        <v>22499.6979033115</v>
      </c>
      <c r="K321" s="18"/>
    </row>
    <row r="322" ht="15.75" customHeight="1" spans="2:11">
      <c r="B322" s="2">
        <f t="shared" si="6"/>
        <v>297</v>
      </c>
      <c r="C322" s="17">
        <v>53144</v>
      </c>
      <c r="D322" s="14">
        <f t="shared" si="7"/>
        <v>1245549.85586495</v>
      </c>
      <c r="E322" s="14">
        <f t="shared" si="0"/>
        <v>22499.6979033115</v>
      </c>
      <c r="F322" s="14">
        <f t="shared" si="1"/>
        <v>5708.77017271433</v>
      </c>
      <c r="G322" s="14">
        <f t="shared" si="2"/>
        <v>16790.9277305972</v>
      </c>
      <c r="H322" s="14">
        <f t="shared" si="3"/>
        <v>1228758.92813435</v>
      </c>
      <c r="I322" s="14">
        <f t="shared" si="4"/>
        <v>0</v>
      </c>
      <c r="J322" s="14">
        <f t="shared" si="5"/>
        <v>22499.6979033115</v>
      </c>
      <c r="K322" s="18"/>
    </row>
    <row r="323" ht="15.75" customHeight="1" spans="2:11">
      <c r="B323" s="2">
        <f t="shared" si="6"/>
        <v>298</v>
      </c>
      <c r="C323" s="17">
        <v>53175</v>
      </c>
      <c r="D323" s="14">
        <f t="shared" si="7"/>
        <v>1228758.92813435</v>
      </c>
      <c r="E323" s="14">
        <f t="shared" si="0"/>
        <v>22499.6979033115</v>
      </c>
      <c r="F323" s="14">
        <f t="shared" si="1"/>
        <v>5631.81175394909</v>
      </c>
      <c r="G323" s="14">
        <f t="shared" si="2"/>
        <v>16867.8861493624</v>
      </c>
      <c r="H323" s="14">
        <f t="shared" si="3"/>
        <v>1211891.04198499</v>
      </c>
      <c r="I323" s="14">
        <f t="shared" si="4"/>
        <v>0</v>
      </c>
      <c r="J323" s="14">
        <f t="shared" si="5"/>
        <v>22499.6979033115</v>
      </c>
      <c r="K323" s="18"/>
    </row>
    <row r="324" ht="15.75" customHeight="1" spans="2:11">
      <c r="B324" s="2">
        <f t="shared" si="6"/>
        <v>299</v>
      </c>
      <c r="C324" s="17">
        <v>53206</v>
      </c>
      <c r="D324" s="14">
        <f t="shared" si="7"/>
        <v>1211891.04198499</v>
      </c>
      <c r="E324" s="14">
        <f t="shared" si="0"/>
        <v>22499.6979033115</v>
      </c>
      <c r="F324" s="14">
        <f t="shared" si="1"/>
        <v>5554.50060909785</v>
      </c>
      <c r="G324" s="14">
        <f t="shared" si="2"/>
        <v>16945.1972942137</v>
      </c>
      <c r="H324" s="14">
        <f t="shared" si="3"/>
        <v>1194945.84469077</v>
      </c>
      <c r="I324" s="14">
        <f t="shared" si="4"/>
        <v>0</v>
      </c>
      <c r="J324" s="14">
        <f t="shared" si="5"/>
        <v>22499.6979033115</v>
      </c>
      <c r="K324" s="18"/>
    </row>
    <row r="325" ht="15.75" customHeight="1" spans="2:11">
      <c r="B325" s="2">
        <f t="shared" si="6"/>
        <v>300</v>
      </c>
      <c r="C325" s="17">
        <v>53236</v>
      </c>
      <c r="D325" s="14">
        <f t="shared" si="7"/>
        <v>1194945.84469077</v>
      </c>
      <c r="E325" s="14">
        <f t="shared" si="0"/>
        <v>22499.6979033115</v>
      </c>
      <c r="F325" s="14">
        <f t="shared" si="1"/>
        <v>5476.83512149937</v>
      </c>
      <c r="G325" s="14">
        <f t="shared" si="2"/>
        <v>17022.8627818121</v>
      </c>
      <c r="H325" s="14">
        <f t="shared" si="3"/>
        <v>1177922.98190896</v>
      </c>
      <c r="I325" s="14">
        <f t="shared" si="4"/>
        <v>0</v>
      </c>
      <c r="J325" s="14">
        <f t="shared" si="5"/>
        <v>22499.6979033115</v>
      </c>
      <c r="K325" s="18"/>
    </row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Pro-forma</vt:lpstr>
      <vt:lpstr>T12</vt:lpstr>
      <vt:lpstr>RR</vt:lpstr>
      <vt:lpstr>Debt Current</vt:lpstr>
      <vt:lpstr>Debt Refinance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Fu</dc:creator>
  <cp:lastModifiedBy>Uchiha Itachi</cp:lastModifiedBy>
  <dcterms:created xsi:type="dcterms:W3CDTF">2016-12-10T13:58:00Z</dcterms:created>
  <dcterms:modified xsi:type="dcterms:W3CDTF">2026-04-16T03:53:59Z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14551996313249C19F4A6F192C5C67B2_13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